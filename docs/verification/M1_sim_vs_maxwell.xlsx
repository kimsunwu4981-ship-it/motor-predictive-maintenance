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요약" sheetId="1" state="visible" r:id="rId1"/>
    <sheet xmlns:r="http://schemas.openxmlformats.org/officeDocument/2006/relationships" name="1 시나리오 비교" sheetId="2" state="visible" r:id="rId2"/>
    <sheet xmlns:r="http://schemas.openxmlformats.org/officeDocument/2006/relationships" name="2 정격·기동" sheetId="3" state="visible" r:id="rId3"/>
    <sheet xmlns:r="http://schemas.openxmlformats.org/officeDocument/2006/relationships" name="3 결함 크기 역추정" sheetId="4" state="visible" r:id="rId4"/>
    <sheet xmlns:r="http://schemas.openxmlformats.org/officeDocument/2006/relationships" name="4 FEM 불확실성 민감도" sheetId="5" state="visible" r:id="rId5"/>
    <sheet xmlns:r="http://schemas.openxmlformats.org/officeDocument/2006/relationships" name="5 탐지 시각" sheetId="6" state="visible" r:id="rId6"/>
    <sheet xmlns:r="http://schemas.openxmlformats.org/officeDocument/2006/relationships" name="5b 시계열 데이터" sheetId="7" state="visible" r:id="rId7"/>
    <sheet xmlns:r="http://schemas.openxmlformats.org/officeDocument/2006/relationships" name="6 등가회로 대조" sheetId="8" state="visible" r:id="rId8"/>
    <sheet xmlns:r="http://schemas.openxmlformats.org/officeDocument/2006/relationships" name="7 근거 사슬" sheetId="9" state="visible" r:id="rId9"/>
    <sheet xmlns:r="http://schemas.openxmlformats.org/officeDocument/2006/relationships" name="8 한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ECEFF1"/>
      </patternFill>
    </fill>
    <fill>
      <patternFill patternType="solid">
        <fgColor rgb="00C8E6C9"/>
      </patternFill>
    </fill>
    <fill>
      <patternFill patternType="solid">
        <fgColor rgb="00E1BEE7"/>
      </patternFill>
    </fill>
    <fill>
      <patternFill patternType="solid">
        <fgColor rgb="00FFF9C4"/>
      </patternFill>
    </fill>
    <fill>
      <patternFill patternType="solid">
        <fgColor rgb="00EEEEEE"/>
      </patternFill>
    </fill>
    <fill>
      <patternFill patternType="solid">
        <fgColor rgb="00D7CCC8"/>
      </patternFill>
    </fill>
    <fill>
      <patternFill patternType="solid">
        <f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  <xf numFmtId="164" fontId="0" fillId="5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165" fontId="0" fillId="0" borderId="0" pivotButton="0" quotePrefix="0" xfId="0"/>
    <xf numFmtId="0" fontId="0" fillId="8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주입 턴수 vs 추정 턴수 (각도 0/90/180°)</a:t>
            </a:r>
          </a:p>
        </rich>
      </tx>
    </title>
    <plotArea>
      <scatterChart>
        <ser>
          <idx val="0"/>
          <order val="0"/>
          <tx>
            <v>결함분 역추정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'3 결함 크기 역추정'!$C$2:$C$19</f>
            </numRef>
          </xVal>
          <yVal>
            <numRef>
              <f>'3 결함 크기 역추정'!$H$2:$H$19</f>
            </numRef>
          </yVal>
        </ser>
        <ser>
          <idx val="1"/>
          <order val="1"/>
          <tx>
            <v>합성값 역추정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pPr>
              <a:ln xmlns:a="http://schemas.openxmlformats.org/drawingml/2006/main">
                <a:prstDash val="solid"/>
              </a:ln>
            </spPr>
          </marker>
          <xVal>
            <numRef>
              <f>'3 결함 크기 역추정'!$C$2:$C$19</f>
            </numRef>
          </xVal>
          <yVal>
            <numRef>
              <f>'3 결함 크기 역추정'!$L$2:$L$19</f>
            </numRef>
          </yVal>
        </ser>
        <ser>
          <idx val="2"/>
          <order val="2"/>
          <tx>
            <v>대각선 (주입 = 추정)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'3 결함 크기 역추정'!$C$2:$C$19</f>
            </numRef>
          </xVal>
          <yVal>
            <numRef>
              <f>'3 결함 크기 역추정'!$C$2:$C$19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주입 턴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추정 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시나리오별 I₂/I₁ — 시뮬·LUT·FEM 민감도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 FEM 불확실성 민감도'!M1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'4 FEM 불확실성 민감도'!$A$2:$A$8</f>
            </numRef>
          </cat>
          <val>
            <numRef>
              <f>'4 FEM 불확실성 민감도'!$M$2:$M$8</f>
            </numRef>
          </val>
        </ser>
        <ser>
          <idx val="1"/>
          <order val="1"/>
          <tx>
            <strRef>
              <f>'4 FEM 불확실성 민감도'!D1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'4 FEM 불확실성 민감도'!$A$2:$A$8</f>
            </numRef>
          </cat>
          <val>
            <numRef>
              <f>'4 FEM 불확실성 민감도'!$D$2:$D$8</f>
            </numRef>
          </val>
        </ser>
        <ser>
          <idx val="2"/>
          <order val="2"/>
          <tx>
            <strRef>
              <f>'4 FEM 불확실성 민감도'!E1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'4 FEM 불확실성 민감도'!$A$2:$A$8</f>
            </numRef>
          </cat>
          <val>
            <numRef>
              <f>'4 FEM 불확실성 민감도'!$E$2:$E$8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I₂/I₁ (합성)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I₂/I₁ 시계열 — 4턴(주입 0 s 기준)·12턴 장면, 임계선 0.05/0.10</a:t>
            </a:r>
          </a:p>
        </rich>
      </tx>
    </title>
    <plotArea>
      <lineChart>
        <grouping val="standard"/>
        <ser>
          <idx val="0"/>
          <order val="0"/>
          <tx>
            <strRef>
              <f>'5b 시계열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'5b 시계열 데이터'!$A$2:$A$399</f>
            </numRef>
          </cat>
          <val>
            <numRef>
              <f>'5b 시계열 데이터'!$B$2:$B$399</f>
            </numRef>
          </val>
        </ser>
        <ser>
          <idx val="1"/>
          <order val="1"/>
          <tx>
            <strRef>
              <f>'5b 시계열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'5b 시계열 데이터'!$A$2:$A$399</f>
            </numRef>
          </cat>
          <val>
            <numRef>
              <f>'5b 시계열 데이터'!$C$2:$C$399</f>
            </numRef>
          </val>
        </ser>
        <ser>
          <idx val="2"/>
          <order val="2"/>
          <tx>
            <strRef>
              <f>'5b 시계열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'5b 시계열 데이터'!$A$2:$A$399</f>
            </numRef>
          </cat>
          <val>
            <numRef>
              <f>'5b 시계열 데이터'!$D$2:$D$399</f>
            </numRef>
          </val>
        </ser>
        <ser>
          <idx val="3"/>
          <order val="3"/>
          <tx>
            <strRef>
              <f>'5b 시계열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'5b 시계열 데이터'!$A$2:$A$399</f>
            </numRef>
          </cat>
          <val>
            <numRef>
              <f>'5b 시계열 데이터'!$E$2:$E$399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주입 후 시간 [s]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I₂/I₁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M1 Isaac Sim 결함 시뮬 vs Maxwell 해석 — 비교표</t>
        </is>
      </c>
    </row>
    <row r="2">
      <c r="A2" t="inlineStr">
        <is>
          <t>생성 2026-10-21 23:25:56 · 생성기 motor_dt_viz/tools/verify/sim_vs_maxwell_xlsx.py · 실행 커밋 2cd8914 · 새 해석·설정·엔진 변경 없음, 수기 숫자 없음</t>
        </is>
      </c>
    </row>
    <row r="4">
      <c r="A4" s="2" t="inlineStr">
        <is>
          <t>한 줄 결론</t>
        </is>
      </c>
      <c r="B4" t="inlineStr">
        <is>
          <t>시뮬 전기 수치는 LUT(MCCM 등가회로)와 ≤ 0.47 %, 2D FEM 보정값(I_f)과 ≤ 4.3 % 안에서 일치하고, 시뮬 I₂/I₁ 로 결함 턴수를 역추정하면 ±1턴 이내 18/18, FEM 불확실성(Z₂ −16 % → I₂ +20 %) 아래에서 판정이 바뀌는 시나리오 1건.</t>
        </is>
      </c>
    </row>
    <row r="6">
      <c r="A6" s="2" t="inlineStr">
        <is>
          <t>시나리오</t>
        </is>
      </c>
      <c r="B6" s="2" t="inlineStr">
        <is>
          <t>PASS</t>
        </is>
      </c>
      <c r="C6" s="2" t="inlineStr">
        <is>
          <t>FAIL</t>
        </is>
      </c>
      <c r="D6" s="2" t="inlineStr">
        <is>
          <t>역추정 ±1턴 (각도 3종)</t>
        </is>
      </c>
      <c r="E6" s="2" t="inlineStr">
        <is>
          <t>FEM 민감도 판정 변화</t>
        </is>
      </c>
    </row>
    <row r="7">
      <c r="A7" t="inlineStr">
        <is>
          <t>healthy</t>
        </is>
      </c>
      <c r="B7" t="n">
        <v>8</v>
      </c>
      <c r="C7" t="n">
        <v>0</v>
      </c>
      <c r="D7" t="inlineStr">
        <is>
          <t>—</t>
        </is>
      </c>
      <c r="E7" t="inlineStr">
        <is>
          <t>불변</t>
        </is>
      </c>
    </row>
    <row r="8">
      <c r="A8" t="inlineStr">
        <is>
          <t>itsc_4turn</t>
        </is>
      </c>
      <c r="B8" t="n">
        <v>11</v>
      </c>
      <c r="C8" t="n">
        <v>0</v>
      </c>
      <c r="D8" t="inlineStr">
        <is>
          <t>3/3</t>
        </is>
      </c>
      <c r="E8" t="inlineStr">
        <is>
          <t>불변</t>
        </is>
      </c>
    </row>
    <row r="9">
      <c r="A9" t="inlineStr">
        <is>
          <t>itsc_8turn</t>
        </is>
      </c>
      <c r="B9" t="n">
        <v>10</v>
      </c>
      <c r="C9" t="n">
        <v>0</v>
      </c>
      <c r="D9" t="inlineStr">
        <is>
          <t>3/3</t>
        </is>
      </c>
      <c r="E9" t="inlineStr">
        <is>
          <t>불변</t>
        </is>
      </c>
    </row>
    <row r="10">
      <c r="A10" t="inlineStr">
        <is>
          <t>itsc_12turn</t>
        </is>
      </c>
      <c r="B10" t="n">
        <v>11</v>
      </c>
      <c r="C10" t="n">
        <v>0</v>
      </c>
      <c r="D10" t="inlineStr">
        <is>
          <t>3/3</t>
        </is>
      </c>
      <c r="E10" t="inlineStr">
        <is>
          <t>불변</t>
        </is>
      </c>
    </row>
    <row r="11">
      <c r="A11" t="inlineStr">
        <is>
          <t>itsc_16turn</t>
        </is>
      </c>
      <c r="B11" t="n">
        <v>10</v>
      </c>
      <c r="C11" t="n">
        <v>0</v>
      </c>
      <c r="D11" t="inlineStr">
        <is>
          <t>3/3</t>
        </is>
      </c>
      <c r="E11" t="inlineStr">
        <is>
          <t>불변</t>
        </is>
      </c>
    </row>
    <row r="12">
      <c r="A12" t="inlineStr">
        <is>
          <t>itsc_4turn_resistive</t>
        </is>
      </c>
      <c r="B12" t="n">
        <v>9</v>
      </c>
      <c r="C12" t="n">
        <v>0</v>
      </c>
      <c r="D12" t="inlineStr">
        <is>
          <t>3/3</t>
        </is>
      </c>
      <c r="E12" t="inlineStr">
        <is>
          <t>불변</t>
        </is>
      </c>
    </row>
    <row r="13">
      <c r="A13" t="inlineStr">
        <is>
          <t>itsc_4turn_halfload</t>
        </is>
      </c>
      <c r="B13" t="n">
        <v>10</v>
      </c>
      <c r="C13" t="n">
        <v>0</v>
      </c>
      <c r="D13" t="inlineStr">
        <is>
          <t>3/3</t>
        </is>
      </c>
      <c r="E13" t="inlineStr">
        <is>
          <t>변화</t>
        </is>
      </c>
    </row>
    <row r="15">
      <c r="A15" t="inlineStr">
        <is>
          <t>색 규칙</t>
        </is>
      </c>
      <c r="B15" t="inlineStr">
        <is>
          <t>PASS 초록 / FAIL 빨강 / — 회색 · 출처 등급: 카탈로그 초록 · RMxprt 파랑 · 등가회로(MCCM/LUT) 보라 · 2D FEM 청록 · 표준 회색 · 가정 주황 · 열 모델 갈색 · 시뮬 노랑</t>
        </is>
      </c>
    </row>
    <row r="16">
      <c r="A16" t="inlineStr">
        <is>
          <t>읽는 법</t>
        </is>
      </c>
      <c r="B16" t="inlineStr">
        <is>
          <t>시트 1: 시나리오마다 시뮬 정상 상태 평균을 RMxprt·LUT·2D FEM·카탈로그와 나란히 — 오차·허용·판정. 시트 3: 시뮬 I₂/I₁ 로 턴수를 거꾸로 맞혔는가. 시트 4: FEM 불확실성(I₂ +20 %)에서 판정이 흔들리는가.</t>
        </is>
      </c>
    </row>
    <row r="18">
      <c r="A18" s="2" t="inlineStr">
        <is>
          <t>입력 파일 sha256(앞 16)</t>
        </is>
      </c>
      <c r="B18" t="inlineStr"/>
      <c r="C18" t="inlineStr"/>
      <c r="D18" t="inlineStr"/>
    </row>
    <row r="19">
      <c r="A19" t="inlineStr">
        <is>
          <t>analysis_reference</t>
        </is>
      </c>
      <c r="B19" t="inlineStr">
        <is>
          <t>motor_dt_viz/data/electrical/analysis_reference.json</t>
        </is>
      </c>
      <c r="C19" t="inlineStr">
        <is>
          <t>59765f4dbb91cf68</t>
        </is>
      </c>
    </row>
    <row r="20">
      <c r="A20" t="inlineStr">
        <is>
          <t>sim_vs_analysis</t>
        </is>
      </c>
      <c r="B20" t="inlineStr">
        <is>
          <t>docs/verification/sim_vs_analysis.json</t>
        </is>
      </c>
      <c r="C20" t="inlineStr">
        <is>
          <t>8f1af0be7fa49d74</t>
        </is>
      </c>
    </row>
    <row r="21">
      <c r="A21" t="inlineStr">
        <is>
          <t>lut</t>
        </is>
      </c>
      <c r="B21" t="inlineStr">
        <is>
          <t>motor_dt_viz/data/electrical/M1_mccm_lut_v2.json</t>
        </is>
      </c>
      <c r="C21" t="inlineStr">
        <is>
          <t>c6898c6e8d801f49</t>
        </is>
      </c>
    </row>
    <row r="22">
      <c r="A22" t="inlineStr">
        <is>
          <t>verification_summary</t>
        </is>
      </c>
      <c r="B22" t="inlineStr">
        <is>
          <t>docs/verification_summary.json</t>
        </is>
      </c>
      <c r="C22" t="inlineStr">
        <is>
          <t>b9adb4b8a2b4c7cc</t>
        </is>
      </c>
    </row>
    <row r="23">
      <c r="A23" t="inlineStr">
        <is>
          <t>thresholds</t>
        </is>
      </c>
      <c r="B23" t="inlineStr">
        <is>
          <t>motor_dt_viz/config/thresholds.yaml</t>
        </is>
      </c>
      <c r="C23" t="inlineStr">
        <is>
          <t>92a7e9fb6043903e</t>
        </is>
      </c>
    </row>
    <row r="24">
      <c r="A24" t="inlineStr">
        <is>
          <t>maxwell_mccm_results</t>
        </is>
      </c>
      <c r="B24" t="inlineStr">
        <is>
          <t>C:\Users\sunwu\OneDrive\바탕 화면\권상모터_3D모델링\maxwell/results/mccm_results.json</t>
        </is>
      </c>
      <c r="C24" t="inlineStr">
        <is>
          <t>4e2a832bd6c9c17f</t>
        </is>
      </c>
    </row>
    <row r="25">
      <c r="A25" t="inlineStr">
        <is>
          <t>maxwell_eddy_summary</t>
        </is>
      </c>
      <c r="B25" t="inlineStr">
        <is>
          <t>C:\Users\sunwu\OneDrive\바탕 화면\권상모터_3D모델링\maxwell/results/eddy2d/summary.json</t>
        </is>
      </c>
      <c r="C25" t="inlineStr">
        <is>
          <t>0fb986f232d14d4e</t>
        </is>
      </c>
    </row>
    <row r="26">
      <c r="A26" t="inlineStr">
        <is>
          <t>maxwell_f2</t>
        </is>
      </c>
      <c r="B26" t="inlineStr">
        <is>
          <t>C:\Users\sunwu\OneDrive\바탕 화면\권상모터_3D모델링\maxwell/results/f2_corrections.json</t>
        </is>
      </c>
      <c r="C26" t="inlineStr">
        <is>
          <t>5e21ad5b5d91fda9</t>
        </is>
      </c>
    </row>
    <row r="27">
      <c r="A27" t="inlineStr">
        <is>
          <t>maxwell_rmxprt</t>
        </is>
      </c>
      <c r="B27" t="inlineStr">
        <is>
          <t>C:\Users\sunwu\OneDrive\바탕 화면\권상모터_3D모델링\maxwell/results/rmxprt_v2m2.json</t>
        </is>
      </c>
      <c r="C27" t="inlineStr">
        <is>
          <t>07736423faa11165</t>
        </is>
      </c>
    </row>
    <row r="28">
      <c r="A28" t="inlineStr">
        <is>
          <t>maxwell_inductance</t>
        </is>
      </c>
      <c r="B28" t="inlineStr">
        <is>
          <t>C:\Users\sunwu\OneDrive\바탕 화면\권상모터_3D모델링\maxwell/results/inductance_matrix_2d.json</t>
        </is>
      </c>
      <c r="C28" t="inlineStr">
        <is>
          <t>a36126216cd3ec6c</t>
        </is>
      </c>
    </row>
    <row r="29">
      <c r="A29" t="inlineStr">
        <is>
          <t>state_a0</t>
        </is>
      </c>
      <c r="B29" t="inlineStr">
        <is>
          <t>motor_dt_viz/logs/verify/electrical_a0/state.csv</t>
        </is>
      </c>
      <c r="C29" t="inlineStr">
        <is>
          <t>0c7524ce74150076</t>
        </is>
      </c>
    </row>
    <row r="30">
      <c r="A30" t="inlineStr">
        <is>
          <t>state_a90</t>
        </is>
      </c>
      <c r="B30" t="inlineStr">
        <is>
          <t>motor_dt_viz/logs/verify/electrical_a90/state.csv</t>
        </is>
      </c>
      <c r="C30" t="inlineStr">
        <is>
          <t>8a73bc7b461565b9</t>
        </is>
      </c>
    </row>
    <row r="31">
      <c r="A31" t="inlineStr">
        <is>
          <t>state_a180</t>
        </is>
      </c>
      <c r="B31" t="inlineStr">
        <is>
          <t>motor_dt_viz/logs/verify/electrical_a180/state.csv</t>
        </is>
      </c>
      <c r="C31" t="inlineStr">
        <is>
          <t>be8476ed7628b493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7" customWidth="1" min="3" max="3"/>
    <col width="6" customWidth="1" min="4" max="4"/>
    <col width="26" customWidth="1" min="5" max="5"/>
    <col width="16" customWidth="1" min="6" max="6"/>
    <col width="12" customWidth="1" min="7" max="7"/>
    <col width="12" customWidth="1" min="8" max="8"/>
    <col width="16" customWidth="1" min="9" max="9"/>
    <col width="10" customWidth="1" min="10" max="10"/>
    <col width="16" customWidth="1" min="11" max="11"/>
    <col width="16" customWidth="1" min="12" max="12"/>
    <col width="8" customWidth="1" min="13" max="13"/>
    <col width="8" customWidth="1" min="14" max="14"/>
    <col width="12" customWidth="1" min="15" max="15"/>
    <col width="60" customWidth="1" min="16" max="16"/>
  </cols>
  <sheetData>
    <row r="1">
      <c r="A1" s="3" t="inlineStr">
        <is>
          <t>시나리오</t>
        </is>
      </c>
      <c r="B1" s="3" t="inlineStr">
        <is>
          <t>턴</t>
        </is>
      </c>
      <c r="C1" s="3" t="inlineStr">
        <is>
          <t>R_f [Ω]</t>
        </is>
      </c>
      <c r="D1" s="3" t="inlineStr">
        <is>
          <t>부하</t>
        </is>
      </c>
      <c r="E1" s="3" t="inlineStr">
        <is>
          <t>양</t>
        </is>
      </c>
      <c r="F1" s="3" t="inlineStr">
        <is>
          <t>시뮬 (정상 상태 평균)</t>
        </is>
      </c>
      <c r="G1" s="3" t="inlineStr">
        <is>
          <t>RMxprt v2m2</t>
        </is>
      </c>
      <c r="H1" s="3" t="inlineStr">
        <is>
          <t>MCCM/LUT</t>
        </is>
      </c>
      <c r="I1" s="3" t="inlineStr">
        <is>
          <t>2D FEM (lite, F1 보정)</t>
        </is>
      </c>
      <c r="J1" s="3" t="inlineStr">
        <is>
          <t>카탈로그</t>
        </is>
      </c>
      <c r="K1" s="3" t="inlineStr">
        <is>
          <t>시뮬−LUT 오차 % (수식)</t>
        </is>
      </c>
      <c r="L1" s="3" t="inlineStr">
        <is>
          <t>시뮬−FEM 오차 % (수식)</t>
        </is>
      </c>
      <c r="M1" s="3" t="inlineStr">
        <is>
          <t>허용 ±%</t>
        </is>
      </c>
      <c r="N1" s="3" t="inlineStr">
        <is>
          <t>판정</t>
        </is>
      </c>
      <c r="O1" s="3" t="inlineStr">
        <is>
          <t>출처 등급</t>
        </is>
      </c>
      <c r="P1" s="3" t="inlineStr">
        <is>
          <t>쉬운 설명</t>
        </is>
      </c>
    </row>
    <row r="2">
      <c r="A2" t="inlineStr">
        <is>
          <t>healthy</t>
        </is>
      </c>
      <c r="B2" t="n">
        <v>0</v>
      </c>
      <c r="C2" t="n">
        <v>0.1</v>
      </c>
      <c r="D2" t="n">
        <v>1</v>
      </c>
      <c r="E2" t="inlineStr">
        <is>
          <t>I₁ 정상분 [A]</t>
        </is>
      </c>
      <c r="F2" s="4" t="n">
        <v>4.69464</v>
      </c>
      <c r="G2" s="5" t="n">
        <v>4.67029</v>
      </c>
      <c r="H2" s="5" t="n">
        <v>4.69464</v>
      </c>
      <c r="I2" s="5" t="n">
        <v>4.903921370548503</v>
      </c>
      <c r="J2" s="5" t="n">
        <v>4.73</v>
      </c>
      <c r="K2">
        <f>(F2/H2-1)*100</f>
        <v/>
      </c>
      <c r="L2">
        <f>(F2/I2-1)*100</f>
        <v/>
      </c>
      <c r="M2" t="n">
        <v>1</v>
      </c>
      <c r="N2" s="6">
        <f>IF(ABS(K2)&lt;=M2,"PASS","FAIL")</f>
        <v/>
      </c>
      <c r="O2" s="7" t="inlineStr">
        <is>
          <t>lut</t>
        </is>
      </c>
      <c r="P2" t="inlineStr">
        <is>
          <t>결함이 커질수록 정상분 전류가 LUT 대로 올라간다(D3 규약)</t>
        </is>
      </c>
    </row>
    <row r="3">
      <c r="A3" t="inlineStr">
        <is>
          <t>healthy</t>
        </is>
      </c>
      <c r="B3" t="n">
        <v>0</v>
      </c>
      <c r="C3" t="n">
        <v>0.1</v>
      </c>
      <c r="D3" t="n">
        <v>1</v>
      </c>
      <c r="E3" t="inlineStr">
        <is>
          <t>결함상 r = I_R/I_n</t>
        </is>
      </c>
      <c r="F3" s="4" t="n">
        <v>1.019323467230444</v>
      </c>
      <c r="G3" s="5" t="n"/>
      <c r="H3" s="5" t="n">
        <v>1.019321353065539</v>
      </c>
      <c r="I3" s="5" t="n"/>
      <c r="J3" s="5" t="n"/>
      <c r="K3">
        <f>(F3/H3-1)*100</f>
        <v/>
      </c>
      <c r="M3" t="n">
        <v>1</v>
      </c>
      <c r="N3" s="6">
        <f>IF(ABS(K3)&lt;=M3,"PASS","FAIL")</f>
        <v/>
      </c>
      <c r="O3" s="7" t="inlineStr">
        <is>
          <t>lut</t>
        </is>
      </c>
      <c r="P3" t="inlineStr">
        <is>
          <t>R상 선전류 ÷ 정격 4.73 A — 1.10 넘으면 과전류 경고, 1.25 위험</t>
        </is>
      </c>
    </row>
    <row r="4">
      <c r="A4" t="inlineStr">
        <is>
          <t>healthy</t>
        </is>
      </c>
      <c r="B4" t="n">
        <v>0</v>
      </c>
      <c r="C4" t="n">
        <v>0.1</v>
      </c>
      <c r="D4" t="n">
        <v>1</v>
      </c>
      <c r="E4" t="inlineStr">
        <is>
          <t>I₂/I₁ 결함분</t>
        </is>
      </c>
      <c r="F4" s="4" t="n">
        <v>0</v>
      </c>
      <c r="G4" s="5" t="n"/>
      <c r="H4" s="5" t="n">
        <v>0</v>
      </c>
      <c r="I4" s="5" t="n"/>
      <c r="J4" s="5" t="n"/>
      <c r="M4" t="n">
        <v>1</v>
      </c>
      <c r="N4" s="6" t="inlineStr">
        <is>
          <t>PASS</t>
        </is>
      </c>
      <c r="O4" s="7" t="inlineStr">
        <is>
          <t>lut</t>
        </is>
      </c>
      <c r="P4" t="inlineStr">
        <is>
          <t>합성값에서 고유 비대칭 0.027 페이저를 뺀 순수 결함 성분</t>
        </is>
      </c>
    </row>
    <row r="5">
      <c r="A5" t="inlineStr">
        <is>
          <t>healthy</t>
        </is>
      </c>
      <c r="B5" t="n">
        <v>0</v>
      </c>
      <c r="C5" t="n">
        <v>0.1</v>
      </c>
      <c r="D5" t="n">
        <v>1</v>
      </c>
      <c r="E5" t="inlineStr">
        <is>
          <t>I₂/I₁ 합성(표시값)</t>
        </is>
      </c>
      <c r="F5" s="4" t="n">
        <v>0.027</v>
      </c>
      <c r="G5" s="5" t="n"/>
      <c r="H5" s="5" t="n">
        <v>0.027</v>
      </c>
      <c r="I5" s="5" t="n"/>
      <c r="J5" s="5" t="n"/>
      <c r="K5">
        <f>(F5/H5-1)*100</f>
        <v/>
      </c>
      <c r="M5" t="n">
        <v>1</v>
      </c>
      <c r="N5" s="6">
        <f>IF(ABS(K5)&lt;=M5,"PASS","FAIL")</f>
        <v/>
      </c>
      <c r="O5" s="7" t="inlineStr">
        <is>
          <t>lut</t>
        </is>
      </c>
      <c r="P5" t="inlineStr">
        <is>
          <t>화면·판정에 쓰는 값 = 결함 + 고유 비대칭(각도 0° 가정)</t>
        </is>
      </c>
    </row>
    <row r="6">
      <c r="A6" t="inlineStr">
        <is>
          <t>healthy</t>
        </is>
      </c>
      <c r="B6" t="n">
        <v>0</v>
      </c>
      <c r="C6" t="n">
        <v>0.1</v>
      </c>
      <c r="D6" t="n">
        <v>1</v>
      </c>
      <c r="E6" t="inlineStr">
        <is>
          <t>I₂/I_n 결함분</t>
        </is>
      </c>
      <c r="F6" s="4" t="n">
        <v>0</v>
      </c>
      <c r="G6" s="5" t="n"/>
      <c r="H6" s="5" t="n">
        <v>0</v>
      </c>
      <c r="I6" s="5" t="n"/>
      <c r="J6" s="5" t="n"/>
      <c r="M6" t="n">
        <v>1</v>
      </c>
      <c r="N6" s="6" t="inlineStr">
        <is>
          <t>PASS</t>
        </is>
      </c>
      <c r="O6" s="7" t="inlineStr">
        <is>
          <t>lut</t>
        </is>
      </c>
      <c r="P6" t="inlineStr">
        <is>
          <t>부하 무관 보조 지표 — 정격 전류 기준</t>
        </is>
      </c>
    </row>
    <row r="7">
      <c r="A7" t="inlineStr">
        <is>
          <t>healthy</t>
        </is>
      </c>
      <c r="B7" t="n">
        <v>0</v>
      </c>
      <c r="C7" t="n">
        <v>0.1</v>
      </c>
      <c r="D7" t="n">
        <v>1</v>
      </c>
      <c r="E7" t="inlineStr">
        <is>
          <t>상 불평형 max dev [%]</t>
        </is>
      </c>
      <c r="F7" s="4" t="n">
        <v>2.680561668536044</v>
      </c>
      <c r="G7" s="5" t="n"/>
      <c r="H7" s="5" t="n">
        <v>2.681</v>
      </c>
      <c r="I7" s="5" t="n"/>
      <c r="J7" s="5" t="n"/>
      <c r="K7">
        <f>(F7/H7-1)*100</f>
        <v/>
      </c>
      <c r="M7" t="n">
        <v>2</v>
      </c>
      <c r="N7" s="6">
        <f>IF(ABS(K7)&lt;=M7,"PASS","FAIL")</f>
        <v/>
      </c>
      <c r="O7" s="7" t="inlineStr">
        <is>
          <t>lut</t>
        </is>
      </c>
      <c r="P7" t="inlineStr">
        <is>
          <t>세 상 RMS 가 평균에서 벗어난 최대 비율</t>
        </is>
      </c>
    </row>
    <row r="8">
      <c r="A8" t="inlineStr">
        <is>
          <t>healthy</t>
        </is>
      </c>
      <c r="B8" t="n">
        <v>0</v>
      </c>
      <c r="C8" t="n">
        <v>0.1</v>
      </c>
      <c r="D8" t="n">
        <v>1</v>
      </c>
      <c r="E8" t="inlineStr">
        <is>
          <t>단락 루프 전류 I_f [A]</t>
        </is>
      </c>
      <c r="F8" s="4" t="n"/>
      <c r="G8" s="5" t="n"/>
      <c r="H8" s="5" t="n">
        <v>0</v>
      </c>
      <c r="I8" s="5" t="n"/>
      <c r="J8" s="5" t="n"/>
      <c r="M8" t="n">
        <v>1</v>
      </c>
      <c r="N8" s="8" t="inlineStr">
        <is>
          <t>—</t>
        </is>
      </c>
      <c r="O8" s="7" t="inlineStr">
        <is>
          <t>mccm</t>
        </is>
      </c>
      <c r="P8" t="inlineStr">
        <is>
          <t>붙은 턴 고리를 도는 순환 전류 — 선전류보다 훨씬 크다</t>
        </is>
      </c>
    </row>
    <row r="9">
      <c r="A9" t="inlineStr">
        <is>
          <t>healthy</t>
        </is>
      </c>
      <c r="B9" t="n">
        <v>0</v>
      </c>
      <c r="C9" t="n">
        <v>0.1</v>
      </c>
      <c r="D9" t="n">
        <v>1</v>
      </c>
      <c r="E9" t="inlineStr">
        <is>
          <t>단락 루프 총손실 [W]</t>
        </is>
      </c>
      <c r="F9" s="4" t="n">
        <v>0</v>
      </c>
      <c r="G9" s="5" t="n"/>
      <c r="H9" s="5" t="n">
        <v>0</v>
      </c>
      <c r="I9" s="5" t="n"/>
      <c r="J9" s="5" t="n"/>
      <c r="M9" t="n">
        <v>2</v>
      </c>
      <c r="N9" s="6" t="inlineStr">
        <is>
          <t>PASS</t>
        </is>
      </c>
      <c r="O9" s="7" t="inlineStr">
        <is>
          <t>mccm</t>
        </is>
      </c>
      <c r="P9" t="inlineStr">
        <is>
          <t>I_f²·(R_f + μR1) + 단락 턴 동손 → 권선 발열</t>
        </is>
      </c>
    </row>
    <row r="10">
      <c r="A10" t="inlineStr">
        <is>
          <t>healthy</t>
        </is>
      </c>
      <c r="B10" t="n">
        <v>0</v>
      </c>
      <c r="C10" t="n">
        <v>0.1</v>
      </c>
      <c r="D10" t="n">
        <v>1</v>
      </c>
      <c r="E10" t="inlineStr">
        <is>
          <t>권선 ΔT 정상 상태 [°C]</t>
        </is>
      </c>
      <c r="F10" s="4" t="n"/>
      <c r="G10" s="5" t="n"/>
      <c r="H10" s="5" t="n">
        <v>21.182</v>
      </c>
      <c r="I10" s="5" t="n"/>
      <c r="J10" s="5" t="n"/>
      <c r="M10" t="n">
        <v>5</v>
      </c>
      <c r="N10" s="8" t="inlineStr">
        <is>
          <t>—</t>
        </is>
      </c>
      <c r="O10" s="9" t="inlineStr">
        <is>
          <t>model</t>
        </is>
      </c>
      <c r="P10" t="inlineStr">
        <is>
          <t>통합 모드에서 300 분 후 권선 온도 상승 vs 열 모델 역산(자기 일관성)</t>
        </is>
      </c>
    </row>
    <row r="11">
      <c r="A11" t="inlineStr">
        <is>
          <t>healthy</t>
        </is>
      </c>
      <c r="B11" t="n">
        <v>0</v>
      </c>
      <c r="C11" t="n">
        <v>0.1</v>
      </c>
      <c r="D11" t="n">
        <v>1</v>
      </c>
      <c r="E11" t="inlineStr">
        <is>
          <t>판정 (장면 끝)</t>
        </is>
      </c>
      <c r="F11" s="4" t="inlineStr">
        <is>
          <t>SAFE</t>
        </is>
      </c>
      <c r="G11" s="5" t="n"/>
      <c r="H11" s="5" t="inlineStr">
        <is>
          <t>SAFE</t>
        </is>
      </c>
      <c r="I11" s="5" t="n"/>
      <c r="J11" s="5" t="n"/>
      <c r="N11" s="6" t="inlineStr">
        <is>
          <t>PASS</t>
        </is>
      </c>
      <c r="O11" s="9" t="inlineStr">
        <is>
          <t>dataset</t>
        </is>
      </c>
      <c r="P11" t="inlineStr">
        <is>
          <t>임계값 0.05/0.10(참고 데이터셋 provisional) + 전류/정격 규칙</t>
        </is>
      </c>
    </row>
    <row r="12">
      <c r="A12" t="inlineStr">
        <is>
          <t>healthy</t>
        </is>
      </c>
      <c r="B12" t="n">
        <v>0</v>
      </c>
      <c r="C12" t="n">
        <v>0.1</v>
      </c>
      <c r="D12" t="n">
        <v>1</v>
      </c>
      <c r="E12" t="inlineStr">
        <is>
          <t>탐지 시각 [s] (주입 후)</t>
        </is>
      </c>
      <c r="F12" s="4" t="n"/>
      <c r="G12" s="5" t="n"/>
      <c r="H12" s="5" t="n"/>
      <c r="I12" s="5" t="n"/>
      <c r="J12" s="5" t="n"/>
      <c r="M12" t="n">
        <v>20</v>
      </c>
      <c r="N12" s="8" t="inlineStr">
        <is>
          <t>—</t>
        </is>
      </c>
      <c r="O12" s="9" t="inlineStr">
        <is>
          <t>dataset</t>
        </is>
      </c>
      <c r="P12" t="inlineStr">
        <is>
          <t>3 s 지속 규칙 — 합성 신호라 과도 없음</t>
        </is>
      </c>
    </row>
    <row r="13">
      <c r="A13" t="inlineStr">
        <is>
          <t>itsc_4turn</t>
        </is>
      </c>
      <c r="B13" t="n">
        <v>4</v>
      </c>
      <c r="C13" t="n">
        <v>0.1</v>
      </c>
      <c r="D13" t="n">
        <v>1</v>
      </c>
      <c r="E13" t="inlineStr">
        <is>
          <t>I₁ 정상분 [A]</t>
        </is>
      </c>
      <c r="F13" s="4" t="n">
        <v>4.88697</v>
      </c>
      <c r="G13" s="5" t="n"/>
      <c r="H13" s="5" t="n">
        <v>4.88627</v>
      </c>
      <c r="I13" s="5" t="n"/>
      <c r="J13" s="5" t="n"/>
      <c r="K13">
        <f>(F13/H13-1)*100</f>
        <v/>
      </c>
      <c r="M13" t="n">
        <v>1</v>
      </c>
      <c r="N13" s="6">
        <f>IF(ABS(K13)&lt;=M13,"PASS","FAIL")</f>
        <v/>
      </c>
      <c r="O13" s="7" t="inlineStr">
        <is>
          <t>lut</t>
        </is>
      </c>
      <c r="P13" t="inlineStr">
        <is>
          <t>결함이 커질수록 정상분 전류가 LUT 대로 올라간다(D3 규약)</t>
        </is>
      </c>
    </row>
    <row r="14">
      <c r="A14" t="inlineStr">
        <is>
          <t>itsc_4turn</t>
        </is>
      </c>
      <c r="B14" t="n">
        <v>4</v>
      </c>
      <c r="C14" t="n">
        <v>0.1</v>
      </c>
      <c r="D14" t="n">
        <v>1</v>
      </c>
      <c r="E14" t="inlineStr">
        <is>
          <t>결함상 r = I_R/I_n</t>
        </is>
      </c>
      <c r="F14" s="4" t="n">
        <v>1.102558139534884</v>
      </c>
      <c r="G14" s="5" t="n"/>
      <c r="H14" s="5" t="n">
        <v>1.102272727272727</v>
      </c>
      <c r="I14" s="5" t="n"/>
      <c r="J14" s="5" t="n"/>
      <c r="K14">
        <f>(F14/H14-1)*100</f>
        <v/>
      </c>
      <c r="M14" t="n">
        <v>1</v>
      </c>
      <c r="N14" s="6">
        <f>IF(ABS(K14)&lt;=M14,"PASS","FAIL")</f>
        <v/>
      </c>
      <c r="O14" s="7" t="inlineStr">
        <is>
          <t>lut</t>
        </is>
      </c>
      <c r="P14" t="inlineStr">
        <is>
          <t>R상 선전류 ÷ 정격 4.73 A — 1.10 넘으면 과전류 경고, 1.25 위험</t>
        </is>
      </c>
    </row>
    <row r="15">
      <c r="A15" t="inlineStr">
        <is>
          <t>itsc_4turn</t>
        </is>
      </c>
      <c r="B15" t="n">
        <v>4</v>
      </c>
      <c r="C15" t="n">
        <v>0.1</v>
      </c>
      <c r="D15" t="n">
        <v>1</v>
      </c>
      <c r="E15" t="inlineStr">
        <is>
          <t>I₂/I₁ 결함분</t>
        </is>
      </c>
      <c r="F15" s="4" t="n">
        <v>0.04896494627337946</v>
      </c>
      <c r="G15" s="5" t="n"/>
      <c r="H15" s="5" t="n">
        <v>0.048815</v>
      </c>
      <c r="I15" s="5" t="n"/>
      <c r="J15" s="5" t="n"/>
      <c r="K15">
        <f>(F15/H15-1)*100</f>
        <v/>
      </c>
      <c r="M15" t="n">
        <v>1</v>
      </c>
      <c r="N15" s="6">
        <f>IF(ABS(K15)&lt;=M15,"PASS","FAIL")</f>
        <v/>
      </c>
      <c r="O15" s="7" t="inlineStr">
        <is>
          <t>lut</t>
        </is>
      </c>
      <c r="P15" t="inlineStr">
        <is>
          <t>합성값에서 고유 비대칭 0.027 페이저를 뺀 순수 결함 성분</t>
        </is>
      </c>
    </row>
    <row r="16">
      <c r="A16" t="inlineStr">
        <is>
          <t>itsc_4turn</t>
        </is>
      </c>
      <c r="B16" t="n">
        <v>4</v>
      </c>
      <c r="C16" t="n">
        <v>0.1</v>
      </c>
      <c r="D16" t="n">
        <v>1</v>
      </c>
      <c r="E16" t="inlineStr">
        <is>
          <t>I₂/I₁ 합성(표시값)</t>
        </is>
      </c>
      <c r="F16" s="4" t="n">
        <v>0.07262</v>
      </c>
      <c r="G16" s="5" t="n"/>
      <c r="H16" s="5" t="n">
        <v>0.072474</v>
      </c>
      <c r="I16" s="5" t="n"/>
      <c r="J16" s="5" t="n"/>
      <c r="K16">
        <f>(F16/H16-1)*100</f>
        <v/>
      </c>
      <c r="M16" t="n">
        <v>1</v>
      </c>
      <c r="N16" s="6">
        <f>IF(ABS(K16)&lt;=M16,"PASS","FAIL")</f>
        <v/>
      </c>
      <c r="O16" s="7" t="inlineStr">
        <is>
          <t>lut</t>
        </is>
      </c>
      <c r="P16" t="inlineStr">
        <is>
          <t>화면·판정에 쓰는 값 = 결함 + 고유 비대칭(각도 0° 가정)</t>
        </is>
      </c>
    </row>
    <row r="17">
      <c r="A17" t="inlineStr">
        <is>
          <t>itsc_4turn</t>
        </is>
      </c>
      <c r="B17" t="n">
        <v>4</v>
      </c>
      <c r="C17" t="n">
        <v>0.1</v>
      </c>
      <c r="D17" t="n">
        <v>1</v>
      </c>
      <c r="E17" t="inlineStr">
        <is>
          <t>I₂/I_n 결함분</t>
        </is>
      </c>
      <c r="F17" s="4" t="n">
        <v>0.05058989925784718</v>
      </c>
      <c r="G17" s="5" t="n"/>
      <c r="H17" s="5" t="n">
        <v>0.050428</v>
      </c>
      <c r="I17" s="5" t="n"/>
      <c r="J17" s="5" t="n"/>
      <c r="K17">
        <f>(F17/H17-1)*100</f>
        <v/>
      </c>
      <c r="M17" t="n">
        <v>1</v>
      </c>
      <c r="N17" s="6">
        <f>IF(ABS(K17)&lt;=M17,"PASS","FAIL")</f>
        <v/>
      </c>
      <c r="O17" s="7" t="inlineStr">
        <is>
          <t>lut</t>
        </is>
      </c>
      <c r="P17" t="inlineStr">
        <is>
          <t>부하 무관 보조 지표 — 정격 전류 기준</t>
        </is>
      </c>
    </row>
    <row r="18">
      <c r="A18" t="inlineStr">
        <is>
          <t>itsc_4turn</t>
        </is>
      </c>
      <c r="B18" t="n">
        <v>4</v>
      </c>
      <c r="C18" t="n">
        <v>0.1</v>
      </c>
      <c r="D18" t="n">
        <v>1</v>
      </c>
      <c r="E18" t="inlineStr">
        <is>
          <t>상 불평형 max dev [%]</t>
        </is>
      </c>
      <c r="F18" s="4" t="n">
        <v>6.571983243077555</v>
      </c>
      <c r="G18" s="5" t="n"/>
      <c r="H18" s="5" t="n">
        <v>6.5603</v>
      </c>
      <c r="I18" s="5" t="n"/>
      <c r="J18" s="5" t="n"/>
      <c r="K18">
        <f>(F18/H18-1)*100</f>
        <v/>
      </c>
      <c r="M18" t="n">
        <v>2</v>
      </c>
      <c r="N18" s="6">
        <f>IF(ABS(K18)&lt;=M18,"PASS","FAIL")</f>
        <v/>
      </c>
      <c r="O18" s="7" t="inlineStr">
        <is>
          <t>lut</t>
        </is>
      </c>
      <c r="P18" t="inlineStr">
        <is>
          <t>세 상 RMS 가 평균에서 벗어난 최대 비율</t>
        </is>
      </c>
    </row>
    <row r="19">
      <c r="A19" t="inlineStr">
        <is>
          <t>itsc_4turn</t>
        </is>
      </c>
      <c r="B19" t="n">
        <v>4</v>
      </c>
      <c r="C19" t="n">
        <v>0.1</v>
      </c>
      <c r="D19" t="n">
        <v>1</v>
      </c>
      <c r="E19" t="inlineStr">
        <is>
          <t>단락 루프 전류 I_f [A]</t>
        </is>
      </c>
      <c r="F19" s="4" t="n">
        <v>34.38097503470577</v>
      </c>
      <c r="G19" s="5" t="n"/>
      <c r="H19" s="5" t="n">
        <v>34.3475</v>
      </c>
      <c r="I19" s="5" t="n">
        <v>35.15508007133644</v>
      </c>
      <c r="J19" s="5" t="n"/>
      <c r="K19">
        <f>(F19/H19-1)*100</f>
        <v/>
      </c>
      <c r="L19">
        <f>(F19/I19-1)*100</f>
        <v/>
      </c>
      <c r="M19" t="n">
        <v>1</v>
      </c>
      <c r="N19" s="6">
        <f>IF(ABS(K19)&lt;=M19,"PASS","FAIL")</f>
        <v/>
      </c>
      <c r="O19" s="7" t="inlineStr">
        <is>
          <t>mccm</t>
        </is>
      </c>
      <c r="P19" t="inlineStr">
        <is>
          <t>붙은 턴 고리를 도는 순환 전류 — 선전류보다 훨씬 크다</t>
        </is>
      </c>
    </row>
    <row r="20">
      <c r="A20" t="inlineStr">
        <is>
          <t>itsc_4turn</t>
        </is>
      </c>
      <c r="B20" t="n">
        <v>4</v>
      </c>
      <c r="C20" t="n">
        <v>0.1</v>
      </c>
      <c r="D20" t="n">
        <v>1</v>
      </c>
      <c r="E20" t="inlineStr">
        <is>
          <t>단락 루프 총손실 [W]</t>
        </is>
      </c>
      <c r="F20" s="4" t="n">
        <v>158.1</v>
      </c>
      <c r="G20" s="5" t="n"/>
      <c r="H20" s="5" t="n">
        <v>157.539</v>
      </c>
      <c r="I20" s="5" t="n"/>
      <c r="J20" s="5" t="n"/>
      <c r="K20">
        <f>(F20/H20-1)*100</f>
        <v/>
      </c>
      <c r="M20" t="n">
        <v>2</v>
      </c>
      <c r="N20" s="6">
        <f>IF(ABS(K20)&lt;=M20,"PASS","FAIL")</f>
        <v/>
      </c>
      <c r="O20" s="7" t="inlineStr">
        <is>
          <t>mccm</t>
        </is>
      </c>
      <c r="P20" t="inlineStr">
        <is>
          <t>I_f²·(R_f + μR1) + 단락 턴 동손 → 권선 발열</t>
        </is>
      </c>
    </row>
    <row r="21">
      <c r="A21" t="inlineStr">
        <is>
          <t>itsc_4turn</t>
        </is>
      </c>
      <c r="B21" t="n">
        <v>4</v>
      </c>
      <c r="C21" t="n">
        <v>0.1</v>
      </c>
      <c r="D21" t="n">
        <v>1</v>
      </c>
      <c r="E21" t="inlineStr">
        <is>
          <t>권선 ΔT 정상 상태 [°C]</t>
        </is>
      </c>
      <c r="F21" s="4" t="n">
        <v>45.622</v>
      </c>
      <c r="G21" s="5" t="n"/>
      <c r="H21" s="5" t="n">
        <v>45.622</v>
      </c>
      <c r="I21" s="5" t="n"/>
      <c r="J21" s="5" t="n"/>
      <c r="K21">
        <f>(F21/H21-1)*100</f>
        <v/>
      </c>
      <c r="M21" t="n">
        <v>5</v>
      </c>
      <c r="N21" s="6">
        <f>IF(ABS(K21)&lt;=M21,"PASS","FAIL")</f>
        <v/>
      </c>
      <c r="O21" s="9" t="inlineStr">
        <is>
          <t>model</t>
        </is>
      </c>
      <c r="P21" t="inlineStr">
        <is>
          <t>통합 모드에서 300 분 후 권선 온도 상승 vs 열 모델 역산(자기 일관성)</t>
        </is>
      </c>
    </row>
    <row r="22">
      <c r="A22" t="inlineStr">
        <is>
          <t>itsc_4turn</t>
        </is>
      </c>
      <c r="B22" t="n">
        <v>4</v>
      </c>
      <c r="C22" t="n">
        <v>0.1</v>
      </c>
      <c r="D22" t="n">
        <v>1</v>
      </c>
      <c r="E22" t="inlineStr">
        <is>
          <t>판정 (장면 끝)</t>
        </is>
      </c>
      <c r="F22" s="4" t="inlineStr">
        <is>
          <t>WARN</t>
        </is>
      </c>
      <c r="G22" s="5" t="n"/>
      <c r="H22" s="5" t="inlineStr">
        <is>
          <t>WARN</t>
        </is>
      </c>
      <c r="I22" s="5" t="n"/>
      <c r="J22" s="5" t="n"/>
      <c r="N22" s="6" t="inlineStr">
        <is>
          <t>PASS</t>
        </is>
      </c>
      <c r="O22" s="9" t="inlineStr">
        <is>
          <t>dataset</t>
        </is>
      </c>
      <c r="P22" t="inlineStr">
        <is>
          <t>임계값 0.05/0.10(참고 데이터셋 provisional) + 전류/정격 규칙</t>
        </is>
      </c>
    </row>
    <row r="23">
      <c r="A23" t="inlineStr">
        <is>
          <t>itsc_4turn</t>
        </is>
      </c>
      <c r="B23" t="n">
        <v>4</v>
      </c>
      <c r="C23" t="n">
        <v>0.1</v>
      </c>
      <c r="D23" t="n">
        <v>1</v>
      </c>
      <c r="E23" t="inlineStr">
        <is>
          <t>탐지 시각 [s] (주입 후)</t>
        </is>
      </c>
      <c r="F23" s="4" t="n">
        <v>2.98</v>
      </c>
      <c r="G23" s="5" t="n"/>
      <c r="H23" s="5" t="n">
        <v>3</v>
      </c>
      <c r="I23" s="5" t="n"/>
      <c r="J23" s="5" t="n"/>
      <c r="K23">
        <f>(F23/H23-1)*100</f>
        <v/>
      </c>
      <c r="M23" t="n">
        <v>20</v>
      </c>
      <c r="N23" s="6">
        <f>IF(ABS(K23)&lt;=M23,"PASS","FAIL")</f>
        <v/>
      </c>
      <c r="O23" s="9" t="inlineStr">
        <is>
          <t>dataset</t>
        </is>
      </c>
      <c r="P23" t="inlineStr">
        <is>
          <t>3 s 지속 규칙 — 합성 신호라 과도 없음</t>
        </is>
      </c>
    </row>
    <row r="24">
      <c r="A24" t="inlineStr">
        <is>
          <t>itsc_8turn</t>
        </is>
      </c>
      <c r="B24" t="n">
        <v>8</v>
      </c>
      <c r="C24" t="n">
        <v>0.1</v>
      </c>
      <c r="D24" t="n">
        <v>1</v>
      </c>
      <c r="E24" t="inlineStr">
        <is>
          <t>I₁ 정상분 [A]</t>
        </is>
      </c>
      <c r="F24" s="4" t="n">
        <v>5.32665</v>
      </c>
      <c r="G24" s="5" t="n"/>
      <c r="H24" s="5" t="n">
        <v>5.32735</v>
      </c>
      <c r="I24" s="5" t="n"/>
      <c r="J24" s="5" t="n"/>
      <c r="K24">
        <f>(F24/H24-1)*100</f>
        <v/>
      </c>
      <c r="M24" t="n">
        <v>1</v>
      </c>
      <c r="N24" s="6">
        <f>IF(ABS(K24)&lt;=M24,"PASS","FAIL")</f>
        <v/>
      </c>
      <c r="O24" s="7" t="inlineStr">
        <is>
          <t>lut</t>
        </is>
      </c>
      <c r="P24" t="inlineStr">
        <is>
          <t>결함이 커질수록 정상분 전류가 LUT 대로 올라간다(D3 규약)</t>
        </is>
      </c>
    </row>
    <row r="25">
      <c r="A25" t="inlineStr">
        <is>
          <t>itsc_8turn</t>
        </is>
      </c>
      <c r="B25" t="n">
        <v>8</v>
      </c>
      <c r="C25" t="n">
        <v>0.1</v>
      </c>
      <c r="D25" t="n">
        <v>1</v>
      </c>
      <c r="E25" t="inlineStr">
        <is>
          <t>결함상 r = I_R/I_n</t>
        </is>
      </c>
      <c r="F25" s="4" t="n">
        <v>1.296807610993657</v>
      </c>
      <c r="G25" s="5" t="n"/>
      <c r="H25" s="5" t="n">
        <v>1.297124735729387</v>
      </c>
      <c r="I25" s="5" t="n"/>
      <c r="J25" s="5" t="n"/>
      <c r="K25">
        <f>(F25/H25-1)*100</f>
        <v/>
      </c>
      <c r="M25" t="n">
        <v>1</v>
      </c>
      <c r="N25" s="6">
        <f>IF(ABS(K25)&lt;=M25,"PASS","FAIL")</f>
        <v/>
      </c>
      <c r="O25" s="7" t="inlineStr">
        <is>
          <t>lut</t>
        </is>
      </c>
      <c r="P25" t="inlineStr">
        <is>
          <t>R상 선전류 ÷ 정격 4.73 A — 1.10 넘으면 과전류 경고, 1.25 위험</t>
        </is>
      </c>
    </row>
    <row r="26">
      <c r="A26" t="inlineStr">
        <is>
          <t>itsc_8turn</t>
        </is>
      </c>
      <c r="B26" t="n">
        <v>8</v>
      </c>
      <c r="C26" t="n">
        <v>0.1</v>
      </c>
      <c r="D26" t="n">
        <v>1</v>
      </c>
      <c r="E26" t="inlineStr">
        <is>
          <t>I₂/I₁ 결함분</t>
        </is>
      </c>
      <c r="F26" s="4" t="n">
        <v>0.144095320424096</v>
      </c>
      <c r="G26" s="5" t="n"/>
      <c r="H26" s="5" t="n">
        <v>0.14425</v>
      </c>
      <c r="I26" s="5" t="n"/>
      <c r="J26" s="5" t="n"/>
      <c r="K26">
        <f>(F26/H26-1)*100</f>
        <v/>
      </c>
      <c r="M26" t="n">
        <v>1</v>
      </c>
      <c r="N26" s="6">
        <f>IF(ABS(K26)&lt;=M26,"PASS","FAIL")</f>
        <v/>
      </c>
      <c r="O26" s="7" t="inlineStr">
        <is>
          <t>lut</t>
        </is>
      </c>
      <c r="P26" t="inlineStr">
        <is>
          <t>합성값에서 고유 비대칭 0.027 페이저를 뺀 순수 결함 성분</t>
        </is>
      </c>
    </row>
    <row r="27">
      <c r="A27" t="inlineStr">
        <is>
          <t>itsc_8turn</t>
        </is>
      </c>
      <c r="B27" t="n">
        <v>8</v>
      </c>
      <c r="C27" t="n">
        <v>0.1</v>
      </c>
      <c r="D27" t="n">
        <v>1</v>
      </c>
      <c r="E27" t="inlineStr">
        <is>
          <t>I₂/I₁ 합성(표시값)</t>
        </is>
      </c>
      <c r="F27" s="4" t="n">
        <v>0.16757</v>
      </c>
      <c r="G27" s="5" t="n"/>
      <c r="H27" s="5" t="n">
        <v>0.167724</v>
      </c>
      <c r="I27" s="5" t="n"/>
      <c r="J27" s="5" t="n"/>
      <c r="K27">
        <f>(F27/H27-1)*100</f>
        <v/>
      </c>
      <c r="M27" t="n">
        <v>1</v>
      </c>
      <c r="N27" s="6">
        <f>IF(ABS(K27)&lt;=M27,"PASS","FAIL")</f>
        <v/>
      </c>
      <c r="O27" s="7" t="inlineStr">
        <is>
          <t>lut</t>
        </is>
      </c>
      <c r="P27" t="inlineStr">
        <is>
          <t>화면·판정에 쓰는 값 = 결함 + 고유 비대칭(각도 0° 가정)</t>
        </is>
      </c>
    </row>
    <row r="28">
      <c r="A28" t="inlineStr">
        <is>
          <t>itsc_8turn</t>
        </is>
      </c>
      <c r="B28" t="n">
        <v>8</v>
      </c>
      <c r="C28" t="n">
        <v>0.1</v>
      </c>
      <c r="D28" t="n">
        <v>1</v>
      </c>
      <c r="E28" t="inlineStr">
        <is>
          <t>I₂/I_n 결함분</t>
        </is>
      </c>
      <c r="F28" s="4" t="n">
        <v>0.1622717417625816</v>
      </c>
      <c r="G28" s="5" t="n"/>
      <c r="H28" s="5" t="n">
        <v>0.162467</v>
      </c>
      <c r="I28" s="5" t="n"/>
      <c r="J28" s="5" t="n"/>
      <c r="K28">
        <f>(F28/H28-1)*100</f>
        <v/>
      </c>
      <c r="M28" t="n">
        <v>1</v>
      </c>
      <c r="N28" s="6">
        <f>IF(ABS(K28)&lt;=M28,"PASS","FAIL")</f>
        <v/>
      </c>
      <c r="O28" s="7" t="inlineStr">
        <is>
          <t>lut</t>
        </is>
      </c>
      <c r="P28" t="inlineStr">
        <is>
          <t>부하 무관 보조 지표 — 정격 전류 기준</t>
        </is>
      </c>
    </row>
    <row r="29">
      <c r="A29" t="inlineStr">
        <is>
          <t>itsc_8turn</t>
        </is>
      </c>
      <c r="B29" t="n">
        <v>8</v>
      </c>
      <c r="C29" t="n">
        <v>0.1</v>
      </c>
      <c r="D29" t="n">
        <v>1</v>
      </c>
      <c r="E29" t="inlineStr">
        <is>
          <t>상 불평형 max dev [%]</t>
        </is>
      </c>
      <c r="F29" s="4" t="n">
        <v>14.34101542839746</v>
      </c>
      <c r="G29" s="5" t="n"/>
      <c r="H29" s="5" t="n">
        <v>14.3526</v>
      </c>
      <c r="I29" s="5" t="n"/>
      <c r="J29" s="5" t="n"/>
      <c r="K29">
        <f>(F29/H29-1)*100</f>
        <v/>
      </c>
      <c r="M29" t="n">
        <v>2</v>
      </c>
      <c r="N29" s="6">
        <f>IF(ABS(K29)&lt;=M29,"PASS","FAIL")</f>
        <v/>
      </c>
      <c r="O29" s="7" t="inlineStr">
        <is>
          <t>lut</t>
        </is>
      </c>
      <c r="P29" t="inlineStr">
        <is>
          <t>세 상 RMS 가 평균에서 벗어난 최대 비율</t>
        </is>
      </c>
    </row>
    <row r="30">
      <c r="A30" t="inlineStr">
        <is>
          <t>itsc_8turn</t>
        </is>
      </c>
      <c r="B30" t="n">
        <v>8</v>
      </c>
      <c r="C30" t="n">
        <v>0.1</v>
      </c>
      <c r="D30" t="n">
        <v>1</v>
      </c>
      <c r="E30" t="inlineStr">
        <is>
          <t>단락 루프 전류 I_f [A]</t>
        </is>
      </c>
      <c r="F30" s="4" t="n">
        <v>55.29636489308243</v>
      </c>
      <c r="G30" s="5" t="n"/>
      <c r="H30" s="5" t="n">
        <v>55.3298</v>
      </c>
      <c r="I30" s="5" t="n"/>
      <c r="J30" s="5" t="n"/>
      <c r="K30">
        <f>(F30/H30-1)*100</f>
        <v/>
      </c>
      <c r="M30" t="n">
        <v>1</v>
      </c>
      <c r="N30" s="6">
        <f>IF(ABS(K30)&lt;=M30,"PASS","FAIL")</f>
        <v/>
      </c>
      <c r="O30" s="7" t="inlineStr">
        <is>
          <t>mccm</t>
        </is>
      </c>
      <c r="P30" t="inlineStr">
        <is>
          <t>붙은 턴 고리를 도는 순환 전류 — 선전류보다 훨씬 크다</t>
        </is>
      </c>
    </row>
    <row r="31">
      <c r="A31" t="inlineStr">
        <is>
          <t>itsc_8turn</t>
        </is>
      </c>
      <c r="B31" t="n">
        <v>8</v>
      </c>
      <c r="C31" t="n">
        <v>0.1</v>
      </c>
      <c r="D31" t="n">
        <v>1</v>
      </c>
      <c r="E31" t="inlineStr">
        <is>
          <t>단락 루프 총손실 [W]</t>
        </is>
      </c>
      <c r="F31" s="4" t="n">
        <v>510.91</v>
      </c>
      <c r="G31" s="5" t="n"/>
      <c r="H31" s="5" t="n">
        <v>511.473</v>
      </c>
      <c r="I31" s="5" t="n"/>
      <c r="J31" s="5" t="n"/>
      <c r="K31">
        <f>(F31/H31-1)*100</f>
        <v/>
      </c>
      <c r="M31" t="n">
        <v>2</v>
      </c>
      <c r="N31" s="6">
        <f>IF(ABS(K31)&lt;=M31,"PASS","FAIL")</f>
        <v/>
      </c>
      <c r="O31" s="7" t="inlineStr">
        <is>
          <t>mccm</t>
        </is>
      </c>
      <c r="P31" t="inlineStr">
        <is>
          <t>I_f²·(R_f + μR1) + 단락 턴 동손 → 권선 발열</t>
        </is>
      </c>
    </row>
    <row r="32">
      <c r="A32" t="inlineStr">
        <is>
          <t>itsc_8turn</t>
        </is>
      </c>
      <c r="B32" t="n">
        <v>8</v>
      </c>
      <c r="C32" t="n">
        <v>0.1</v>
      </c>
      <c r="D32" t="n">
        <v>1</v>
      </c>
      <c r="E32" t="inlineStr">
        <is>
          <t>권선 ΔT 정상 상태 [°C]</t>
        </is>
      </c>
      <c r="F32" s="4" t="n"/>
      <c r="G32" s="5" t="n"/>
      <c r="H32" s="5" t="n">
        <v>100.638</v>
      </c>
      <c r="I32" s="5" t="n"/>
      <c r="J32" s="5" t="n"/>
      <c r="M32" t="n">
        <v>5</v>
      </c>
      <c r="N32" s="8" t="inlineStr">
        <is>
          <t>—</t>
        </is>
      </c>
      <c r="O32" s="9" t="inlineStr">
        <is>
          <t>model</t>
        </is>
      </c>
      <c r="P32" t="inlineStr">
        <is>
          <t>통합 모드에서 300 분 후 권선 온도 상승 vs 열 모델 역산(자기 일관성)</t>
        </is>
      </c>
    </row>
    <row r="33">
      <c r="A33" t="inlineStr">
        <is>
          <t>itsc_8turn</t>
        </is>
      </c>
      <c r="B33" t="n">
        <v>8</v>
      </c>
      <c r="C33" t="n">
        <v>0.1</v>
      </c>
      <c r="D33" t="n">
        <v>1</v>
      </c>
      <c r="E33" t="inlineStr">
        <is>
          <t>판정 (장면 끝)</t>
        </is>
      </c>
      <c r="F33" s="4" t="inlineStr">
        <is>
          <t>DANGER</t>
        </is>
      </c>
      <c r="G33" s="5" t="n"/>
      <c r="H33" s="5" t="inlineStr">
        <is>
          <t>DANGER</t>
        </is>
      </c>
      <c r="I33" s="5" t="n"/>
      <c r="J33" s="5" t="n"/>
      <c r="N33" s="6" t="inlineStr">
        <is>
          <t>PASS</t>
        </is>
      </c>
      <c r="O33" s="9" t="inlineStr">
        <is>
          <t>dataset</t>
        </is>
      </c>
      <c r="P33" t="inlineStr">
        <is>
          <t>임계값 0.05/0.10(참고 데이터셋 provisional) + 전류/정격 규칙</t>
        </is>
      </c>
    </row>
    <row r="34">
      <c r="A34" t="inlineStr">
        <is>
          <t>itsc_8turn</t>
        </is>
      </c>
      <c r="B34" t="n">
        <v>8</v>
      </c>
      <c r="C34" t="n">
        <v>0.1</v>
      </c>
      <c r="D34" t="n">
        <v>1</v>
      </c>
      <c r="E34" t="inlineStr">
        <is>
          <t>탐지 시각 [s] (주입 후)</t>
        </is>
      </c>
      <c r="F34" s="4" t="n">
        <v>2.95</v>
      </c>
      <c r="G34" s="5" t="n"/>
      <c r="H34" s="5" t="n">
        <v>3</v>
      </c>
      <c r="I34" s="5" t="n"/>
      <c r="J34" s="5" t="n"/>
      <c r="K34">
        <f>(F34/H34-1)*100</f>
        <v/>
      </c>
      <c r="M34" t="n">
        <v>20</v>
      </c>
      <c r="N34" s="6">
        <f>IF(ABS(K34)&lt;=M34,"PASS","FAIL")</f>
        <v/>
      </c>
      <c r="O34" s="9" t="inlineStr">
        <is>
          <t>dataset</t>
        </is>
      </c>
      <c r="P34" t="inlineStr">
        <is>
          <t>3 s 지속 규칙 — 합성 신호라 과도 없음</t>
        </is>
      </c>
    </row>
    <row r="35">
      <c r="A35" t="inlineStr">
        <is>
          <t>itsc_12turn</t>
        </is>
      </c>
      <c r="B35" t="n">
        <v>12</v>
      </c>
      <c r="C35" t="n">
        <v>0.1</v>
      </c>
      <c r="D35" t="n">
        <v>1</v>
      </c>
      <c r="E35" t="inlineStr">
        <is>
          <t>I₁ 정상분 [A]</t>
        </is>
      </c>
      <c r="F35" s="4" t="n">
        <v>5.92325</v>
      </c>
      <c r="G35" s="5" t="n"/>
      <c r="H35" s="5" t="n">
        <v>5.92325</v>
      </c>
      <c r="I35" s="5" t="n"/>
      <c r="J35" s="5" t="n"/>
      <c r="K35">
        <f>(F35/H35-1)*100</f>
        <v/>
      </c>
      <c r="M35" t="n">
        <v>1</v>
      </c>
      <c r="N35" s="6">
        <f>IF(ABS(K35)&lt;=M35,"PASS","FAIL")</f>
        <v/>
      </c>
      <c r="O35" s="7" t="inlineStr">
        <is>
          <t>lut</t>
        </is>
      </c>
      <c r="P35" t="inlineStr">
        <is>
          <t>결함이 커질수록 정상분 전류가 LUT 대로 올라간다(D3 규약)</t>
        </is>
      </c>
    </row>
    <row r="36">
      <c r="A36" t="inlineStr">
        <is>
          <t>itsc_12turn</t>
        </is>
      </c>
      <c r="B36" t="n">
        <v>12</v>
      </c>
      <c r="C36" t="n">
        <v>0.1</v>
      </c>
      <c r="D36" t="n">
        <v>1</v>
      </c>
      <c r="E36" t="inlineStr">
        <is>
          <t>결함상 r = I_R/I_n</t>
        </is>
      </c>
      <c r="F36" s="4" t="n">
        <v>1.563467230443975</v>
      </c>
      <c r="G36" s="5" t="n"/>
      <c r="H36" s="5" t="n">
        <v>1.563471458773784</v>
      </c>
      <c r="I36" s="5" t="n"/>
      <c r="J36" s="5" t="n"/>
      <c r="K36">
        <f>(F36/H36-1)*100</f>
        <v/>
      </c>
      <c r="M36" t="n">
        <v>1</v>
      </c>
      <c r="N36" s="6">
        <f>IF(ABS(K36)&lt;=M36,"PASS","FAIL")</f>
        <v/>
      </c>
      <c r="O36" s="7" t="inlineStr">
        <is>
          <t>lut</t>
        </is>
      </c>
      <c r="P36" t="inlineStr">
        <is>
          <t>R상 선전류 ÷ 정격 4.73 A — 1.10 넘으면 과전류 경고, 1.25 위험</t>
        </is>
      </c>
    </row>
    <row r="37">
      <c r="A37" t="inlineStr">
        <is>
          <t>itsc_12turn</t>
        </is>
      </c>
      <c r="B37" t="n">
        <v>12</v>
      </c>
      <c r="C37" t="n">
        <v>0.1</v>
      </c>
      <c r="D37" t="n">
        <v>1</v>
      </c>
      <c r="E37" t="inlineStr">
        <is>
          <t>I₂/I₁ 결함분</t>
        </is>
      </c>
      <c r="F37" s="4" t="n">
        <v>0.2455150235294323</v>
      </c>
      <c r="G37" s="5" t="n"/>
      <c r="H37" s="5" t="n">
        <v>0.245513</v>
      </c>
      <c r="I37" s="5" t="n"/>
      <c r="J37" s="5" t="n"/>
      <c r="K37">
        <f>(F37/H37-1)*100</f>
        <v/>
      </c>
      <c r="M37" t="n">
        <v>1</v>
      </c>
      <c r="N37" s="6">
        <f>IF(ABS(K37)&lt;=M37,"PASS","FAIL")</f>
        <v/>
      </c>
      <c r="O37" s="7" t="inlineStr">
        <is>
          <t>lut</t>
        </is>
      </c>
      <c r="P37" t="inlineStr">
        <is>
          <t>합성값에서 고유 비대칭 0.027 페이저를 뺀 순수 결함 성분</t>
        </is>
      </c>
    </row>
    <row r="38">
      <c r="A38" t="inlineStr">
        <is>
          <t>itsc_12turn</t>
        </is>
      </c>
      <c r="B38" t="n">
        <v>12</v>
      </c>
      <c r="C38" t="n">
        <v>0.1</v>
      </c>
      <c r="D38" t="n">
        <v>1</v>
      </c>
      <c r="E38" t="inlineStr">
        <is>
          <t>I₂/I₁ 합성(표시값)</t>
        </is>
      </c>
      <c r="F38" s="4" t="n">
        <v>0.26958</v>
      </c>
      <c r="G38" s="5" t="n"/>
      <c r="H38" s="5" t="n">
        <v>0.269578</v>
      </c>
      <c r="I38" s="5" t="n"/>
      <c r="J38" s="5" t="n"/>
      <c r="K38">
        <f>(F38/H38-1)*100</f>
        <v/>
      </c>
      <c r="M38" t="n">
        <v>1</v>
      </c>
      <c r="N38" s="6">
        <f>IF(ABS(K38)&lt;=M38,"PASS","FAIL")</f>
        <v/>
      </c>
      <c r="O38" s="7" t="inlineStr">
        <is>
          <t>lut</t>
        </is>
      </c>
      <c r="P38" t="inlineStr">
        <is>
          <t>화면·판정에 쓰는 값 = 결함 + 고유 비대칭(각도 0° 가정)</t>
        </is>
      </c>
    </row>
    <row r="39">
      <c r="A39" t="inlineStr">
        <is>
          <t>itsc_12turn</t>
        </is>
      </c>
      <c r="B39" t="n">
        <v>12</v>
      </c>
      <c r="C39" t="n">
        <v>0.1</v>
      </c>
      <c r="D39" t="n">
        <v>1</v>
      </c>
      <c r="E39" t="inlineStr">
        <is>
          <t>I₂/I_n 결함분</t>
        </is>
      </c>
      <c r="F39" s="4" t="n">
        <v>0.30745176810163</v>
      </c>
      <c r="G39" s="5" t="n"/>
      <c r="H39" s="5" t="n">
        <v>0.307449</v>
      </c>
      <c r="I39" s="5" t="n"/>
      <c r="J39" s="5" t="n"/>
      <c r="K39">
        <f>(F39/H39-1)*100</f>
        <v/>
      </c>
      <c r="M39" t="n">
        <v>1</v>
      </c>
      <c r="N39" s="6">
        <f>IF(ABS(K39)&lt;=M39,"PASS","FAIL")</f>
        <v/>
      </c>
      <c r="O39" s="7" t="inlineStr">
        <is>
          <t>lut</t>
        </is>
      </c>
      <c r="P39" t="inlineStr">
        <is>
          <t>부하 무관 보조 지표 — 정격 전류 기준</t>
        </is>
      </c>
    </row>
    <row r="40">
      <c r="A40" t="inlineStr">
        <is>
          <t>itsc_12turn</t>
        </is>
      </c>
      <c r="B40" t="n">
        <v>12</v>
      </c>
      <c r="C40" t="n">
        <v>0.1</v>
      </c>
      <c r="D40" t="n">
        <v>1</v>
      </c>
      <c r="E40" t="inlineStr">
        <is>
          <t>상 불평형 max dev [%]</t>
        </is>
      </c>
      <c r="F40" s="4" t="n">
        <v>22.54597075768206</v>
      </c>
      <c r="G40" s="5" t="n"/>
      <c r="H40" s="5" t="n">
        <v>22.5458</v>
      </c>
      <c r="I40" s="5" t="n"/>
      <c r="J40" s="5" t="n"/>
      <c r="K40">
        <f>(F40/H40-1)*100</f>
        <v/>
      </c>
      <c r="M40" t="n">
        <v>2</v>
      </c>
      <c r="N40" s="6">
        <f>IF(ABS(K40)&lt;=M40,"PASS","FAIL")</f>
        <v/>
      </c>
      <c r="O40" s="7" t="inlineStr">
        <is>
          <t>lut</t>
        </is>
      </c>
      <c r="P40" t="inlineStr">
        <is>
          <t>세 상 RMS 가 평균에서 벗어난 최대 비율</t>
        </is>
      </c>
    </row>
    <row r="41">
      <c r="A41" t="inlineStr">
        <is>
          <t>itsc_12turn</t>
        </is>
      </c>
      <c r="B41" t="n">
        <v>12</v>
      </c>
      <c r="C41" t="n">
        <v>0.1</v>
      </c>
      <c r="D41" t="n">
        <v>1</v>
      </c>
      <c r="E41" t="inlineStr">
        <is>
          <t>단락 루프 전류 I_f [A]</t>
        </is>
      </c>
      <c r="F41" s="4" t="n">
        <v>69.80326109802972</v>
      </c>
      <c r="G41" s="5" t="n"/>
      <c r="H41" s="5" t="n">
        <v>69.80329999999999</v>
      </c>
      <c r="I41" s="5" t="n"/>
      <c r="J41" s="5" t="n"/>
      <c r="K41">
        <f>(F41/H41-1)*100</f>
        <v/>
      </c>
      <c r="M41" t="n">
        <v>1</v>
      </c>
      <c r="N41" s="6">
        <f>IF(ABS(K41)&lt;=M41,"PASS","FAIL")</f>
        <v/>
      </c>
      <c r="O41" s="7" t="inlineStr">
        <is>
          <t>mccm</t>
        </is>
      </c>
      <c r="P41" t="inlineStr">
        <is>
          <t>붙은 턴 고리를 도는 순환 전류 — 선전류보다 훨씬 크다</t>
        </is>
      </c>
    </row>
    <row r="42">
      <c r="A42" t="inlineStr">
        <is>
          <t>itsc_12turn</t>
        </is>
      </c>
      <c r="B42" t="n">
        <v>12</v>
      </c>
      <c r="C42" t="n">
        <v>0.1</v>
      </c>
      <c r="D42" t="n">
        <v>1</v>
      </c>
      <c r="E42" t="inlineStr">
        <is>
          <t>단락 루프 총손실 [W]</t>
        </is>
      </c>
      <c r="F42" s="4" t="n">
        <v>977.46</v>
      </c>
      <c r="G42" s="5" t="n"/>
      <c r="H42" s="5" t="n">
        <v>977.462</v>
      </c>
      <c r="I42" s="5" t="n"/>
      <c r="J42" s="5" t="n"/>
      <c r="K42">
        <f>(F42/H42-1)*100</f>
        <v/>
      </c>
      <c r="M42" t="n">
        <v>2</v>
      </c>
      <c r="N42" s="6">
        <f>IF(ABS(K42)&lt;=M42,"PASS","FAIL")</f>
        <v/>
      </c>
      <c r="O42" s="7" t="inlineStr">
        <is>
          <t>mccm</t>
        </is>
      </c>
      <c r="P42" t="inlineStr">
        <is>
          <t>I_f²·(R_f + μR1) + 단락 턴 동손 → 권선 발열</t>
        </is>
      </c>
    </row>
    <row r="43">
      <c r="A43" t="inlineStr">
        <is>
          <t>itsc_12turn</t>
        </is>
      </c>
      <c r="B43" t="n">
        <v>12</v>
      </c>
      <c r="C43" t="n">
        <v>0.1</v>
      </c>
      <c r="D43" t="n">
        <v>1</v>
      </c>
      <c r="E43" t="inlineStr">
        <is>
          <t>권선 ΔT 정상 상태 [°C]</t>
        </is>
      </c>
      <c r="F43" s="4" t="n">
        <v>174.364</v>
      </c>
      <c r="G43" s="5" t="n"/>
      <c r="H43" s="5" t="n">
        <v>174.366</v>
      </c>
      <c r="I43" s="5" t="n"/>
      <c r="J43" s="5" t="n"/>
      <c r="K43">
        <f>(F43/H43-1)*100</f>
        <v/>
      </c>
      <c r="M43" t="n">
        <v>5</v>
      </c>
      <c r="N43" s="6">
        <f>IF(ABS(K43)&lt;=M43,"PASS","FAIL")</f>
        <v/>
      </c>
      <c r="O43" s="9" t="inlineStr">
        <is>
          <t>model</t>
        </is>
      </c>
      <c r="P43" t="inlineStr">
        <is>
          <t>통합 모드에서 300 분 후 권선 온도 상승 vs 열 모델 역산(자기 일관성)</t>
        </is>
      </c>
    </row>
    <row r="44">
      <c r="A44" t="inlineStr">
        <is>
          <t>itsc_12turn</t>
        </is>
      </c>
      <c r="B44" t="n">
        <v>12</v>
      </c>
      <c r="C44" t="n">
        <v>0.1</v>
      </c>
      <c r="D44" t="n">
        <v>1</v>
      </c>
      <c r="E44" t="inlineStr">
        <is>
          <t>판정 (장면 끝)</t>
        </is>
      </c>
      <c r="F44" s="4" t="inlineStr">
        <is>
          <t>DANGER</t>
        </is>
      </c>
      <c r="G44" s="5" t="n"/>
      <c r="H44" s="5" t="inlineStr">
        <is>
          <t>DANGER</t>
        </is>
      </c>
      <c r="I44" s="5" t="n"/>
      <c r="J44" s="5" t="n"/>
      <c r="N44" s="6" t="inlineStr">
        <is>
          <t>PASS</t>
        </is>
      </c>
      <c r="O44" s="9" t="inlineStr">
        <is>
          <t>dataset</t>
        </is>
      </c>
      <c r="P44" t="inlineStr">
        <is>
          <t>임계값 0.05/0.10(참고 데이터셋 provisional) + 전류/정격 규칙</t>
        </is>
      </c>
    </row>
    <row r="45">
      <c r="A45" t="inlineStr">
        <is>
          <t>itsc_12turn</t>
        </is>
      </c>
      <c r="B45" t="n">
        <v>12</v>
      </c>
      <c r="C45" t="n">
        <v>0.1</v>
      </c>
      <c r="D45" t="n">
        <v>1</v>
      </c>
      <c r="E45" t="inlineStr">
        <is>
          <t>탐지 시각 [s] (주입 후)</t>
        </is>
      </c>
      <c r="F45" s="4" t="n">
        <v>3.03</v>
      </c>
      <c r="G45" s="5" t="n"/>
      <c r="H45" s="5" t="n">
        <v>3</v>
      </c>
      <c r="I45" s="5" t="n"/>
      <c r="J45" s="5" t="n"/>
      <c r="K45">
        <f>(F45/H45-1)*100</f>
        <v/>
      </c>
      <c r="M45" t="n">
        <v>20</v>
      </c>
      <c r="N45" s="6">
        <f>IF(ABS(K45)&lt;=M45,"PASS","FAIL")</f>
        <v/>
      </c>
      <c r="O45" s="9" t="inlineStr">
        <is>
          <t>dataset</t>
        </is>
      </c>
      <c r="P45" t="inlineStr">
        <is>
          <t>3 s 지속 규칙 — 합성 신호라 과도 없음</t>
        </is>
      </c>
    </row>
    <row r="46">
      <c r="A46" t="inlineStr">
        <is>
          <t>itsc_16turn</t>
        </is>
      </c>
      <c r="B46" t="n">
        <v>16</v>
      </c>
      <c r="C46" t="n">
        <v>0.1</v>
      </c>
      <c r="D46" t="n">
        <v>1</v>
      </c>
      <c r="E46" t="inlineStr">
        <is>
          <t>I₁ 정상분 [A]</t>
        </is>
      </c>
      <c r="F46" s="4" t="n">
        <v>6.63288</v>
      </c>
      <c r="G46" s="5" t="n"/>
      <c r="H46" s="5" t="n">
        <v>6.63155</v>
      </c>
      <c r="I46" s="5" t="n"/>
      <c r="J46" s="5" t="n"/>
      <c r="K46">
        <f>(F46/H46-1)*100</f>
        <v/>
      </c>
      <c r="M46" t="n">
        <v>1</v>
      </c>
      <c r="N46" s="6">
        <f>IF(ABS(K46)&lt;=M46,"PASS","FAIL")</f>
        <v/>
      </c>
      <c r="O46" s="7" t="inlineStr">
        <is>
          <t>lut</t>
        </is>
      </c>
      <c r="P46" t="inlineStr">
        <is>
          <t>결함이 커질수록 정상분 전류가 LUT 대로 올라간다(D3 규약)</t>
        </is>
      </c>
    </row>
    <row r="47">
      <c r="A47" t="inlineStr">
        <is>
          <t>itsc_16turn</t>
        </is>
      </c>
      <c r="B47" t="n">
        <v>16</v>
      </c>
      <c r="C47" t="n">
        <v>0.1</v>
      </c>
      <c r="D47" t="n">
        <v>1</v>
      </c>
      <c r="E47" t="inlineStr">
        <is>
          <t>결함상 r = I_R/I_n</t>
        </is>
      </c>
      <c r="F47" s="4" t="n">
        <v>1.880634249471459</v>
      </c>
      <c r="G47" s="5" t="n"/>
      <c r="H47" s="5" t="n">
        <v>1.880095137420718</v>
      </c>
      <c r="I47" s="5" t="n"/>
      <c r="J47" s="5" t="n"/>
      <c r="K47">
        <f>(F47/H47-1)*100</f>
        <v/>
      </c>
      <c r="M47" t="n">
        <v>1</v>
      </c>
      <c r="N47" s="6">
        <f>IF(ABS(K47)&lt;=M47,"PASS","FAIL")</f>
        <v/>
      </c>
      <c r="O47" s="7" t="inlineStr">
        <is>
          <t>lut</t>
        </is>
      </c>
      <c r="P47" t="inlineStr">
        <is>
          <t>R상 선전류 ÷ 정격 4.73 A — 1.10 넘으면 과전류 경고, 1.25 위험</t>
        </is>
      </c>
    </row>
    <row r="48">
      <c r="A48" t="inlineStr">
        <is>
          <t>itsc_16turn</t>
        </is>
      </c>
      <c r="B48" t="n">
        <v>16</v>
      </c>
      <c r="C48" t="n">
        <v>0.1</v>
      </c>
      <c r="D48" t="n">
        <v>1</v>
      </c>
      <c r="E48" t="inlineStr">
        <is>
          <t>I₂/I₁ 결함분</t>
        </is>
      </c>
      <c r="F48" s="4" t="n">
        <v>0.3378533926868585</v>
      </c>
      <c r="G48" s="5" t="n"/>
      <c r="H48" s="5" t="n">
        <v>0.33774</v>
      </c>
      <c r="I48" s="5" t="n"/>
      <c r="J48" s="5" t="n"/>
      <c r="K48">
        <f>(F48/H48-1)*100</f>
        <v/>
      </c>
      <c r="M48" t="n">
        <v>1</v>
      </c>
      <c r="N48" s="6">
        <f>IF(ABS(K48)&lt;=M48,"PASS","FAIL")</f>
        <v/>
      </c>
      <c r="O48" s="7" t="inlineStr">
        <is>
          <t>lut</t>
        </is>
      </c>
      <c r="P48" t="inlineStr">
        <is>
          <t>합성값에서 고유 비대칭 0.027 페이저를 뺀 순수 결함 성분</t>
        </is>
      </c>
    </row>
    <row r="49">
      <c r="A49" t="inlineStr">
        <is>
          <t>itsc_16turn</t>
        </is>
      </c>
      <c r="B49" t="n">
        <v>16</v>
      </c>
      <c r="C49" t="n">
        <v>0.1</v>
      </c>
      <c r="D49" t="n">
        <v>1</v>
      </c>
      <c r="E49" t="inlineStr">
        <is>
          <t>I₂/I₁ 합성(표시값)</t>
        </is>
      </c>
      <c r="F49" s="4" t="n">
        <v>0.36253</v>
      </c>
      <c r="G49" s="5" t="n"/>
      <c r="H49" s="5" t="n">
        <v>0.362417</v>
      </c>
      <c r="I49" s="5" t="n"/>
      <c r="J49" s="5" t="n"/>
      <c r="K49">
        <f>(F49/H49-1)*100</f>
        <v/>
      </c>
      <c r="M49" t="n">
        <v>1</v>
      </c>
      <c r="N49" s="6">
        <f>IF(ABS(K49)&lt;=M49,"PASS","FAIL")</f>
        <v/>
      </c>
      <c r="O49" s="7" t="inlineStr">
        <is>
          <t>lut</t>
        </is>
      </c>
      <c r="P49" t="inlineStr">
        <is>
          <t>화면·판정에 쓰는 값 = 결함 + 고유 비대칭(각도 0° 가정)</t>
        </is>
      </c>
    </row>
    <row r="50">
      <c r="A50" t="inlineStr">
        <is>
          <t>itsc_16turn</t>
        </is>
      </c>
      <c r="B50" t="n">
        <v>16</v>
      </c>
      <c r="C50" t="n">
        <v>0.1</v>
      </c>
      <c r="D50" t="n">
        <v>1</v>
      </c>
      <c r="E50" t="inlineStr">
        <is>
          <t>I₂/I_n 결함분</t>
        </is>
      </c>
      <c r="F50" s="4" t="n">
        <v>0.4737718839925603</v>
      </c>
      <c r="G50" s="5" t="n"/>
      <c r="H50" s="5" t="n">
        <v>0.473518</v>
      </c>
      <c r="I50" s="5" t="n"/>
      <c r="J50" s="5" t="n"/>
      <c r="K50">
        <f>(F50/H50-1)*100</f>
        <v/>
      </c>
      <c r="M50" t="n">
        <v>1</v>
      </c>
      <c r="N50" s="6">
        <f>IF(ABS(K50)&lt;=M50,"PASS","FAIL")</f>
        <v/>
      </c>
      <c r="O50" s="7" t="inlineStr">
        <is>
          <t>lut</t>
        </is>
      </c>
      <c r="P50" t="inlineStr">
        <is>
          <t>부하 무관 보조 지표 — 정격 전류 기준</t>
        </is>
      </c>
    </row>
    <row r="51">
      <c r="A51" t="inlineStr">
        <is>
          <t>itsc_16turn</t>
        </is>
      </c>
      <c r="B51" t="n">
        <v>16</v>
      </c>
      <c r="C51" t="n">
        <v>0.1</v>
      </c>
      <c r="D51" t="n">
        <v>1</v>
      </c>
      <c r="E51" t="inlineStr">
        <is>
          <t>상 불평형 max dev [%]</t>
        </is>
      </c>
      <c r="F51" s="4" t="n">
        <v>29.5465467943708</v>
      </c>
      <c r="G51" s="5" t="n"/>
      <c r="H51" s="5" t="n">
        <v>29.5387</v>
      </c>
      <c r="I51" s="5" t="n"/>
      <c r="J51" s="5" t="n"/>
      <c r="K51">
        <f>(F51/H51-1)*100</f>
        <v/>
      </c>
      <c r="M51" t="n">
        <v>2</v>
      </c>
      <c r="N51" s="6">
        <f>IF(ABS(K51)&lt;=M51,"PASS","FAIL")</f>
        <v/>
      </c>
      <c r="O51" s="7" t="inlineStr">
        <is>
          <t>lut</t>
        </is>
      </c>
      <c r="P51" t="inlineStr">
        <is>
          <t>세 상 RMS 가 평균에서 벗어난 최대 비율</t>
        </is>
      </c>
    </row>
    <row r="52">
      <c r="A52" t="inlineStr">
        <is>
          <t>itsc_16turn</t>
        </is>
      </c>
      <c r="B52" t="n">
        <v>16</v>
      </c>
      <c r="C52" t="n">
        <v>0.1</v>
      </c>
      <c r="D52" t="n">
        <v>1</v>
      </c>
      <c r="E52" t="inlineStr">
        <is>
          <t>단락 루프 전류 I_f [A]</t>
        </is>
      </c>
      <c r="F52" s="4" t="n">
        <v>80.64316007962989</v>
      </c>
      <c r="G52" s="5" t="n"/>
      <c r="H52" s="5" t="n">
        <v>80.6306</v>
      </c>
      <c r="I52" s="5" t="n"/>
      <c r="J52" s="5" t="n"/>
      <c r="K52">
        <f>(F52/H52-1)*100</f>
        <v/>
      </c>
      <c r="M52" t="n">
        <v>1</v>
      </c>
      <c r="N52" s="6">
        <f>IF(ABS(K52)&lt;=M52,"PASS","FAIL")</f>
        <v/>
      </c>
      <c r="O52" s="7" t="inlineStr">
        <is>
          <t>mccm</t>
        </is>
      </c>
      <c r="P52" t="inlineStr">
        <is>
          <t>붙은 턴 고리를 도는 순환 전류 — 선전류보다 훨씬 크다</t>
        </is>
      </c>
    </row>
    <row r="53">
      <c r="A53" t="inlineStr">
        <is>
          <t>itsc_16turn</t>
        </is>
      </c>
      <c r="B53" t="n">
        <v>16</v>
      </c>
      <c r="C53" t="n">
        <v>0.1</v>
      </c>
      <c r="D53" t="n">
        <v>1</v>
      </c>
      <c r="E53" t="inlineStr">
        <is>
          <t>단락 루프 총손실 [W]</t>
        </is>
      </c>
      <c r="F53" s="4" t="n">
        <v>1523.26</v>
      </c>
      <c r="G53" s="5" t="n"/>
      <c r="H53" s="5" t="n">
        <v>1522.24</v>
      </c>
      <c r="I53" s="5" t="n"/>
      <c r="J53" s="5" t="n"/>
      <c r="K53">
        <f>(F53/H53-1)*100</f>
        <v/>
      </c>
      <c r="M53" t="n">
        <v>2</v>
      </c>
      <c r="N53" s="6">
        <f>IF(ABS(K53)&lt;=M53,"PASS","FAIL")</f>
        <v/>
      </c>
      <c r="O53" s="7" t="inlineStr">
        <is>
          <t>mccm</t>
        </is>
      </c>
      <c r="P53" t="inlineStr">
        <is>
          <t>I_f²·(R_f + μR1) + 단락 턴 동손 → 권선 발열</t>
        </is>
      </c>
    </row>
    <row r="54">
      <c r="A54" t="inlineStr">
        <is>
          <t>itsc_16turn</t>
        </is>
      </c>
      <c r="B54" t="n">
        <v>16</v>
      </c>
      <c r="C54" t="n">
        <v>0.1</v>
      </c>
      <c r="D54" t="n">
        <v>1</v>
      </c>
      <c r="E54" t="inlineStr">
        <is>
          <t>권선 ΔT 정상 상태 [°C]</t>
        </is>
      </c>
      <c r="F54" s="4" t="n">
        <v>261.944</v>
      </c>
      <c r="G54" s="5" t="n"/>
      <c r="H54" s="5" t="n">
        <v>261.947</v>
      </c>
      <c r="I54" s="5" t="n"/>
      <c r="J54" s="5" t="n"/>
      <c r="K54">
        <f>(F54/H54-1)*100</f>
        <v/>
      </c>
      <c r="M54" t="n">
        <v>5</v>
      </c>
      <c r="N54" s="6">
        <f>IF(ABS(K54)&lt;=M54,"PASS","FAIL")</f>
        <v/>
      </c>
      <c r="O54" s="9" t="inlineStr">
        <is>
          <t>model</t>
        </is>
      </c>
      <c r="P54" t="inlineStr">
        <is>
          <t>통합 모드에서 300 분 후 권선 온도 상승 vs 열 모델 역산(자기 일관성)</t>
        </is>
      </c>
    </row>
    <row r="55">
      <c r="A55" t="inlineStr">
        <is>
          <t>itsc_16turn</t>
        </is>
      </c>
      <c r="B55" t="n">
        <v>16</v>
      </c>
      <c r="C55" t="n">
        <v>0.1</v>
      </c>
      <c r="D55" t="n">
        <v>1</v>
      </c>
      <c r="E55" t="inlineStr">
        <is>
          <t>판정 (장면 끝)</t>
        </is>
      </c>
      <c r="F55" s="4" t="inlineStr">
        <is>
          <t>DANGER</t>
        </is>
      </c>
      <c r="G55" s="5" t="n"/>
      <c r="H55" s="5" t="inlineStr">
        <is>
          <t>DANGER</t>
        </is>
      </c>
      <c r="I55" s="5" t="n"/>
      <c r="J55" s="5" t="n"/>
      <c r="N55" s="6" t="inlineStr">
        <is>
          <t>PASS</t>
        </is>
      </c>
      <c r="O55" s="9" t="inlineStr">
        <is>
          <t>dataset</t>
        </is>
      </c>
      <c r="P55" t="inlineStr">
        <is>
          <t>임계값 0.05/0.10(참고 데이터셋 provisional) + 전류/정격 규칙</t>
        </is>
      </c>
    </row>
    <row r="56">
      <c r="A56" t="inlineStr">
        <is>
          <t>itsc_16turn</t>
        </is>
      </c>
      <c r="B56" t="n">
        <v>16</v>
      </c>
      <c r="C56" t="n">
        <v>0.1</v>
      </c>
      <c r="D56" t="n">
        <v>1</v>
      </c>
      <c r="E56" t="inlineStr">
        <is>
          <t>탐지 시각 [s] (주입 후)</t>
        </is>
      </c>
      <c r="F56" s="4" t="n"/>
      <c r="G56" s="5" t="n"/>
      <c r="H56" s="5" t="n">
        <v>3</v>
      </c>
      <c r="I56" s="5" t="n"/>
      <c r="J56" s="5" t="n"/>
      <c r="M56" t="n">
        <v>20</v>
      </c>
      <c r="N56" s="8" t="inlineStr">
        <is>
          <t>—</t>
        </is>
      </c>
      <c r="O56" s="9" t="inlineStr">
        <is>
          <t>dataset</t>
        </is>
      </c>
      <c r="P56" t="inlineStr">
        <is>
          <t>3 s 지속 규칙 — 합성 신호라 과도 없음</t>
        </is>
      </c>
    </row>
    <row r="57">
      <c r="A57" t="inlineStr">
        <is>
          <t>itsc_4turn_resistive</t>
        </is>
      </c>
      <c r="B57" t="n">
        <v>4</v>
      </c>
      <c r="C57" t="n">
        <v>1</v>
      </c>
      <c r="D57" t="n">
        <v>1</v>
      </c>
      <c r="E57" t="inlineStr">
        <is>
          <t>I₁ 정상분 [A]</t>
        </is>
      </c>
      <c r="F57" s="4" t="n">
        <v>4.71911</v>
      </c>
      <c r="G57" s="5" t="n"/>
      <c r="H57" s="5" t="n">
        <v>4.719</v>
      </c>
      <c r="I57" s="5" t="n"/>
      <c r="J57" s="5" t="n"/>
      <c r="K57">
        <f>(F57/H57-1)*100</f>
        <v/>
      </c>
      <c r="M57" t="n">
        <v>1</v>
      </c>
      <c r="N57" s="6">
        <f>IF(ABS(K57)&lt;=M57,"PASS","FAIL")</f>
        <v/>
      </c>
      <c r="O57" s="7" t="inlineStr">
        <is>
          <t>lut</t>
        </is>
      </c>
      <c r="P57" t="inlineStr">
        <is>
          <t>결함이 커질수록 정상분 전류가 LUT 대로 올라간다(D3 규약)</t>
        </is>
      </c>
    </row>
    <row r="58">
      <c r="A58" t="inlineStr">
        <is>
          <t>itsc_4turn_resistive</t>
        </is>
      </c>
      <c r="B58" t="n">
        <v>4</v>
      </c>
      <c r="C58" t="n">
        <v>1</v>
      </c>
      <c r="D58" t="n">
        <v>1</v>
      </c>
      <c r="E58" t="inlineStr">
        <is>
          <t>결함상 r = I_R/I_n</t>
        </is>
      </c>
      <c r="F58" s="4" t="n">
        <v>1.029830866807611</v>
      </c>
      <c r="G58" s="5" t="n"/>
      <c r="H58" s="5" t="n">
        <v>1.029778012684989</v>
      </c>
      <c r="I58" s="5" t="n"/>
      <c r="J58" s="5" t="n"/>
      <c r="K58">
        <f>(F58/H58-1)*100</f>
        <v/>
      </c>
      <c r="M58" t="n">
        <v>1</v>
      </c>
      <c r="N58" s="6">
        <f>IF(ABS(K58)&lt;=M58,"PASS","FAIL")</f>
        <v/>
      </c>
      <c r="O58" s="7" t="inlineStr">
        <is>
          <t>lut</t>
        </is>
      </c>
      <c r="P58" t="inlineStr">
        <is>
          <t>R상 선전류 ÷ 정격 4.73 A — 1.10 넘으면 과전류 경고, 1.25 위험</t>
        </is>
      </c>
    </row>
    <row r="59">
      <c r="A59" t="inlineStr">
        <is>
          <t>itsc_4turn_resistive</t>
        </is>
      </c>
      <c r="B59" t="n">
        <v>4</v>
      </c>
      <c r="C59" t="n">
        <v>1</v>
      </c>
      <c r="D59" t="n">
        <v>1</v>
      </c>
      <c r="E59" t="inlineStr">
        <is>
          <t>I₂/I₁ 결함분</t>
        </is>
      </c>
      <c r="F59" s="4" t="n">
        <v>0.006541630145571976</v>
      </c>
      <c r="G59" s="5" t="n"/>
      <c r="H59" s="5" t="n">
        <v>0.006511</v>
      </c>
      <c r="I59" s="5" t="n"/>
      <c r="J59" s="5" t="n"/>
      <c r="K59">
        <f>(F59/H59-1)*100</f>
        <v/>
      </c>
      <c r="M59" t="n">
        <v>1</v>
      </c>
      <c r="N59" s="6">
        <f>IF(ABS(K59)&lt;=M59,"PASS","FAIL")</f>
        <v/>
      </c>
      <c r="O59" s="7" t="inlineStr">
        <is>
          <t>lut</t>
        </is>
      </c>
      <c r="P59" t="inlineStr">
        <is>
          <t>합성값에서 고유 비대칭 0.027 페이저를 뺀 순수 결함 성분</t>
        </is>
      </c>
    </row>
    <row r="60">
      <c r="A60" t="inlineStr">
        <is>
          <t>itsc_4turn_resistive</t>
        </is>
      </c>
      <c r="B60" t="n">
        <v>4</v>
      </c>
      <c r="C60" t="n">
        <v>1</v>
      </c>
      <c r="D60" t="n">
        <v>1</v>
      </c>
      <c r="E60" t="inlineStr">
        <is>
          <t>I₂/I₁ 합성(표시값)</t>
        </is>
      </c>
      <c r="F60" s="4" t="n">
        <v>0.03244</v>
      </c>
      <c r="G60" s="5" t="n"/>
      <c r="H60" s="5" t="n">
        <v>0.032413</v>
      </c>
      <c r="I60" s="5" t="n"/>
      <c r="J60" s="5" t="n"/>
      <c r="K60">
        <f>(F60/H60-1)*100</f>
        <v/>
      </c>
      <c r="M60" t="n">
        <v>1</v>
      </c>
      <c r="N60" s="6">
        <f>IF(ABS(K60)&lt;=M60,"PASS","FAIL")</f>
        <v/>
      </c>
      <c r="O60" s="7" t="inlineStr">
        <is>
          <t>lut</t>
        </is>
      </c>
      <c r="P60" t="inlineStr">
        <is>
          <t>화면·판정에 쓰는 값 = 결함 + 고유 비대칭(각도 0° 가정)</t>
        </is>
      </c>
    </row>
    <row r="61">
      <c r="A61" t="inlineStr">
        <is>
          <t>itsc_4turn_resistive</t>
        </is>
      </c>
      <c r="B61" t="n">
        <v>4</v>
      </c>
      <c r="C61" t="n">
        <v>1</v>
      </c>
      <c r="D61" t="n">
        <v>1</v>
      </c>
      <c r="E61" t="inlineStr">
        <is>
          <t>I₂/I_n 결함분</t>
        </is>
      </c>
      <c r="F61" s="4" t="n">
        <v>0.006526569183143797</v>
      </c>
      <c r="G61" s="5" t="n"/>
      <c r="H61" s="5" t="n">
        <v>0.006496</v>
      </c>
      <c r="I61" s="5" t="n"/>
      <c r="J61" s="5" t="n"/>
      <c r="K61">
        <f>(F61/H61-1)*100</f>
        <v/>
      </c>
      <c r="M61" t="n">
        <v>1</v>
      </c>
      <c r="N61" s="6">
        <f>IF(ABS(K61)&lt;=M61,"PASS","FAIL")</f>
        <v/>
      </c>
      <c r="O61" s="7" t="inlineStr">
        <is>
          <t>lut</t>
        </is>
      </c>
      <c r="P61" t="inlineStr">
        <is>
          <t>부하 무관 보조 지표 — 정격 전류 기준</t>
        </is>
      </c>
    </row>
    <row r="62">
      <c r="A62" t="inlineStr">
        <is>
          <t>itsc_4turn_resistive</t>
        </is>
      </c>
      <c r="B62" t="n">
        <v>4</v>
      </c>
      <c r="C62" t="n">
        <v>1</v>
      </c>
      <c r="D62" t="n">
        <v>1</v>
      </c>
      <c r="E62" t="inlineStr">
        <is>
          <t>상 불평형 max dev [%]</t>
        </is>
      </c>
      <c r="F62" s="4" t="n">
        <v>3.193254761282665</v>
      </c>
      <c r="G62" s="5" t="n"/>
      <c r="H62" s="5" t="n">
        <v>3.1903</v>
      </c>
      <c r="I62" s="5" t="n"/>
      <c r="J62" s="5" t="n"/>
      <c r="K62">
        <f>(F62/H62-1)*100</f>
        <v/>
      </c>
      <c r="M62" t="n">
        <v>2</v>
      </c>
      <c r="N62" s="6">
        <f>IF(ABS(K62)&lt;=M62,"PASS","FAIL")</f>
        <v/>
      </c>
      <c r="O62" s="7" t="inlineStr">
        <is>
          <t>lut</t>
        </is>
      </c>
      <c r="P62" t="inlineStr">
        <is>
          <t>세 상 RMS 가 평균에서 벗어난 최대 비율</t>
        </is>
      </c>
    </row>
    <row r="63">
      <c r="A63" t="inlineStr">
        <is>
          <t>itsc_4turn_resistive</t>
        </is>
      </c>
      <c r="B63" t="n">
        <v>4</v>
      </c>
      <c r="C63" t="n">
        <v>1</v>
      </c>
      <c r="D63" t="n">
        <v>1</v>
      </c>
      <c r="E63" t="inlineStr">
        <is>
          <t>단락 루프 전류 I_f [A]</t>
        </is>
      </c>
      <c r="F63" s="4" t="n">
        <v>4.431004086541479</v>
      </c>
      <c r="G63" s="5" t="n"/>
      <c r="H63" s="5" t="n">
        <v>4.4244</v>
      </c>
      <c r="I63" s="5" t="n">
        <v>4.5647420896258</v>
      </c>
      <c r="J63" s="5" t="n"/>
      <c r="K63">
        <f>(F63/H63-1)*100</f>
        <v/>
      </c>
      <c r="L63">
        <f>(F63/I63-1)*100</f>
        <v/>
      </c>
      <c r="M63" t="n">
        <v>1</v>
      </c>
      <c r="N63" s="6">
        <f>IF(ABS(K63)&lt;=M63,"PASS","FAIL")</f>
        <v/>
      </c>
      <c r="O63" s="7" t="inlineStr">
        <is>
          <t>mccm</t>
        </is>
      </c>
      <c r="P63" t="inlineStr">
        <is>
          <t>붙은 턴 고리를 도는 순환 전류 — 선전류보다 훨씬 크다</t>
        </is>
      </c>
    </row>
    <row r="64">
      <c r="A64" t="inlineStr">
        <is>
          <t>itsc_4turn_resistive</t>
        </is>
      </c>
      <c r="B64" t="n">
        <v>4</v>
      </c>
      <c r="C64" t="n">
        <v>1</v>
      </c>
      <c r="D64" t="n">
        <v>1</v>
      </c>
      <c r="E64" t="inlineStr">
        <is>
          <t>단락 루프 총손실 [W]</t>
        </is>
      </c>
      <c r="F64" s="4" t="n">
        <v>20.32</v>
      </c>
      <c r="G64" s="5" t="n"/>
      <c r="H64" s="5" t="n">
        <v>20.232</v>
      </c>
      <c r="I64" s="5" t="n"/>
      <c r="J64" s="5" t="n"/>
      <c r="K64">
        <f>(F64/H64-1)*100</f>
        <v/>
      </c>
      <c r="M64" t="n">
        <v>2</v>
      </c>
      <c r="N64" s="6">
        <f>IF(ABS(K64)&lt;=M64,"PASS","FAIL")</f>
        <v/>
      </c>
      <c r="O64" s="7" t="inlineStr">
        <is>
          <t>mccm</t>
        </is>
      </c>
      <c r="P64" t="inlineStr">
        <is>
          <t>I_f²·(R_f + μR1) + 단락 턴 동손 → 권선 발열</t>
        </is>
      </c>
    </row>
    <row r="65">
      <c r="A65" t="inlineStr">
        <is>
          <t>itsc_4turn_resistive</t>
        </is>
      </c>
      <c r="B65" t="n">
        <v>4</v>
      </c>
      <c r="C65" t="n">
        <v>1</v>
      </c>
      <c r="D65" t="n">
        <v>1</v>
      </c>
      <c r="E65" t="inlineStr">
        <is>
          <t>권선 ΔT 정상 상태 [°C]</t>
        </is>
      </c>
      <c r="F65" s="4" t="n"/>
      <c r="G65" s="5" t="n"/>
      <c r="H65" s="5" t="n">
        <v>24.316</v>
      </c>
      <c r="I65" s="5" t="n"/>
      <c r="J65" s="5" t="n"/>
      <c r="M65" t="n">
        <v>5</v>
      </c>
      <c r="N65" s="8" t="inlineStr">
        <is>
          <t>—</t>
        </is>
      </c>
      <c r="O65" s="9" t="inlineStr">
        <is>
          <t>model</t>
        </is>
      </c>
      <c r="P65" t="inlineStr">
        <is>
          <t>통합 모드에서 300 분 후 권선 온도 상승 vs 열 모델 역산(자기 일관성)</t>
        </is>
      </c>
    </row>
    <row r="66">
      <c r="A66" t="inlineStr">
        <is>
          <t>itsc_4turn_resistive</t>
        </is>
      </c>
      <c r="B66" t="n">
        <v>4</v>
      </c>
      <c r="C66" t="n">
        <v>1</v>
      </c>
      <c r="D66" t="n">
        <v>1</v>
      </c>
      <c r="E66" t="inlineStr">
        <is>
          <t>판정 (장면 끝)</t>
        </is>
      </c>
      <c r="F66" s="4" t="inlineStr">
        <is>
          <t>SAFE</t>
        </is>
      </c>
      <c r="G66" s="5" t="n"/>
      <c r="H66" s="5" t="inlineStr">
        <is>
          <t>SAFE</t>
        </is>
      </c>
      <c r="I66" s="5" t="n"/>
      <c r="J66" s="5" t="n"/>
      <c r="N66" s="6" t="inlineStr">
        <is>
          <t>PASS</t>
        </is>
      </c>
      <c r="O66" s="9" t="inlineStr">
        <is>
          <t>dataset</t>
        </is>
      </c>
      <c r="P66" t="inlineStr">
        <is>
          <t>임계값 0.05/0.10(참고 데이터셋 provisional) + 전류/정격 규칙</t>
        </is>
      </c>
    </row>
    <row r="67">
      <c r="A67" t="inlineStr">
        <is>
          <t>itsc_4turn_resistive</t>
        </is>
      </c>
      <c r="B67" t="n">
        <v>4</v>
      </c>
      <c r="C67" t="n">
        <v>1</v>
      </c>
      <c r="D67" t="n">
        <v>1</v>
      </c>
      <c r="E67" t="inlineStr">
        <is>
          <t>탐지 시각 [s] (주입 후)</t>
        </is>
      </c>
      <c r="F67" s="4" t="n"/>
      <c r="G67" s="5" t="n"/>
      <c r="H67" s="5" t="n"/>
      <c r="I67" s="5" t="n"/>
      <c r="J67" s="5" t="n"/>
      <c r="M67" t="n">
        <v>20</v>
      </c>
      <c r="N67" s="8" t="inlineStr">
        <is>
          <t>—</t>
        </is>
      </c>
      <c r="O67" s="9" t="inlineStr">
        <is>
          <t>dataset</t>
        </is>
      </c>
      <c r="P67" t="inlineStr">
        <is>
          <t>3 s 지속 규칙 — 합성 신호라 과도 없음</t>
        </is>
      </c>
    </row>
    <row r="68">
      <c r="A68" t="inlineStr">
        <is>
          <t>itsc_4turn_halfload</t>
        </is>
      </c>
      <c r="B68" t="n">
        <v>4</v>
      </c>
      <c r="C68" t="n">
        <v>0.1</v>
      </c>
      <c r="D68" t="n">
        <v>0.5</v>
      </c>
      <c r="E68" t="inlineStr">
        <is>
          <t>I₁ 정상분 [A]</t>
        </is>
      </c>
      <c r="F68" s="4" t="n">
        <v>3.20198</v>
      </c>
      <c r="G68" s="5" t="n"/>
      <c r="H68" s="5" t="n">
        <v>3.20136</v>
      </c>
      <c r="I68" s="5" t="n"/>
      <c r="J68" s="5" t="n"/>
      <c r="K68">
        <f>(F68/H68-1)*100</f>
        <v/>
      </c>
      <c r="M68" t="n">
        <v>1</v>
      </c>
      <c r="N68" s="6">
        <f>IF(ABS(K68)&lt;=M68,"PASS","FAIL")</f>
        <v/>
      </c>
      <c r="O68" s="7" t="inlineStr">
        <is>
          <t>lut</t>
        </is>
      </c>
      <c r="P68" t="inlineStr">
        <is>
          <t>결함이 커질수록 정상분 전류가 LUT 대로 올라간다(D3 규약)</t>
        </is>
      </c>
    </row>
    <row r="69">
      <c r="A69" t="inlineStr">
        <is>
          <t>itsc_4turn_halfload</t>
        </is>
      </c>
      <c r="B69" t="n">
        <v>4</v>
      </c>
      <c r="C69" t="n">
        <v>0.1</v>
      </c>
      <c r="D69" t="n">
        <v>0.5</v>
      </c>
      <c r="E69" t="inlineStr">
        <is>
          <t>결함상 r = I_R/I_n</t>
        </is>
      </c>
      <c r="F69" s="4" t="n">
        <v>0.730845665961945</v>
      </c>
      <c r="G69" s="5" t="n"/>
      <c r="H69" s="5" t="n">
        <v>0.7306004228329809</v>
      </c>
      <c r="I69" s="5" t="n"/>
      <c r="J69" s="5" t="n"/>
      <c r="K69">
        <f>(F69/H69-1)*100</f>
        <v/>
      </c>
      <c r="M69" t="n">
        <v>1</v>
      </c>
      <c r="N69" s="6">
        <f>IF(ABS(K69)&lt;=M69,"PASS","FAIL")</f>
        <v/>
      </c>
      <c r="O69" s="7" t="inlineStr">
        <is>
          <t>lut</t>
        </is>
      </c>
      <c r="P69" t="inlineStr">
        <is>
          <t>R상 선전류 ÷ 정격 4.73 A — 1.10 넘으면 과전류 경고, 1.25 위험</t>
        </is>
      </c>
    </row>
    <row r="70">
      <c r="A70" t="inlineStr">
        <is>
          <t>itsc_4turn_halfload</t>
        </is>
      </c>
      <c r="B70" t="n">
        <v>4</v>
      </c>
      <c r="C70" t="n">
        <v>0.1</v>
      </c>
      <c r="D70" t="n">
        <v>0.5</v>
      </c>
      <c r="E70" t="inlineStr">
        <is>
          <t>I₂/I₁ 결함분</t>
        </is>
      </c>
      <c r="F70" s="4" t="n">
        <v>0.07472571159380777</v>
      </c>
      <c r="G70" s="5" t="n"/>
      <c r="H70" s="5" t="n">
        <v>0.074507</v>
      </c>
      <c r="I70" s="5" t="n"/>
      <c r="J70" s="5" t="n"/>
      <c r="K70">
        <f>(F70/H70-1)*100</f>
        <v/>
      </c>
      <c r="M70" t="n">
        <v>1</v>
      </c>
      <c r="N70" s="6">
        <f>IF(ABS(K70)&lt;=M70,"PASS","FAIL")</f>
        <v/>
      </c>
      <c r="O70" s="7" t="inlineStr">
        <is>
          <t>lut</t>
        </is>
      </c>
      <c r="P70" t="inlineStr">
        <is>
          <t>합성값에서 고유 비대칭 0.027 페이저를 뺀 순수 결함 성분</t>
        </is>
      </c>
    </row>
    <row r="71">
      <c r="A71" t="inlineStr">
        <is>
          <t>itsc_4turn_halfload</t>
        </is>
      </c>
      <c r="B71" t="n">
        <v>4</v>
      </c>
      <c r="C71" t="n">
        <v>0.1</v>
      </c>
      <c r="D71" t="n">
        <v>0.5</v>
      </c>
      <c r="E71" t="inlineStr">
        <is>
          <t>I₂/I₁ 합성(표시값)</t>
        </is>
      </c>
      <c r="F71" s="4" t="n">
        <v>0.09529</v>
      </c>
      <c r="G71" s="5" t="n"/>
      <c r="H71" s="5" t="n">
        <v>0.09507599999999999</v>
      </c>
      <c r="I71" s="5" t="n"/>
      <c r="J71" s="5" t="n"/>
      <c r="K71">
        <f>(F71/H71-1)*100</f>
        <v/>
      </c>
      <c r="M71" t="n">
        <v>1</v>
      </c>
      <c r="N71" s="6">
        <f>IF(ABS(K71)&lt;=M71,"PASS","FAIL")</f>
        <v/>
      </c>
      <c r="O71" s="7" t="inlineStr">
        <is>
          <t>lut</t>
        </is>
      </c>
      <c r="P71" t="inlineStr">
        <is>
          <t>화면·판정에 쓰는 값 = 결함 + 고유 비대칭(각도 0° 가정)</t>
        </is>
      </c>
    </row>
    <row r="72">
      <c r="A72" t="inlineStr">
        <is>
          <t>itsc_4turn_halfload</t>
        </is>
      </c>
      <c r="B72" t="n">
        <v>4</v>
      </c>
      <c r="C72" t="n">
        <v>0.1</v>
      </c>
      <c r="D72" t="n">
        <v>0.5</v>
      </c>
      <c r="E72" t="inlineStr">
        <is>
          <t>I₂/I_n 결함분</t>
        </is>
      </c>
      <c r="F72" s="4" t="n">
        <v>0.05058567315203817</v>
      </c>
      <c r="G72" s="5" t="n"/>
      <c r="H72" s="5" t="n">
        <v>0.050428</v>
      </c>
      <c r="I72" s="5" t="n"/>
      <c r="J72" s="5" t="n"/>
      <c r="K72">
        <f>(F72/H72-1)*100</f>
        <v/>
      </c>
      <c r="M72" t="n">
        <v>1</v>
      </c>
      <c r="N72" s="6">
        <f>IF(ABS(K72)&lt;=M72,"PASS","FAIL")</f>
        <v/>
      </c>
      <c r="O72" s="7" t="inlineStr">
        <is>
          <t>lut</t>
        </is>
      </c>
      <c r="P72" t="inlineStr">
        <is>
          <t>부하 무관 보조 지표 — 정격 전류 기준</t>
        </is>
      </c>
    </row>
    <row r="73">
      <c r="A73" t="inlineStr">
        <is>
          <t>itsc_4turn_halfload</t>
        </is>
      </c>
      <c r="B73" t="n">
        <v>4</v>
      </c>
      <c r="C73" t="n">
        <v>0.1</v>
      </c>
      <c r="D73" t="n">
        <v>0.5</v>
      </c>
      <c r="E73" t="inlineStr">
        <is>
          <t>상 불평형 max dev [%]</t>
        </is>
      </c>
      <c r="F73" s="4" t="n">
        <v>8.736432095559595</v>
      </c>
      <c r="G73" s="5" t="n"/>
      <c r="H73" s="5" t="n">
        <v>8.715199999999999</v>
      </c>
      <c r="I73" s="5" t="n"/>
      <c r="J73" s="5" t="n"/>
      <c r="K73">
        <f>(F73/H73-1)*100</f>
        <v/>
      </c>
      <c r="M73" t="n">
        <v>2</v>
      </c>
      <c r="N73" s="6">
        <f>IF(ABS(K73)&lt;=M73,"PASS","FAIL")</f>
        <v/>
      </c>
      <c r="O73" s="7" t="inlineStr">
        <is>
          <t>lut</t>
        </is>
      </c>
      <c r="P73" t="inlineStr">
        <is>
          <t>세 상 RMS 가 평균에서 벗어난 최대 비율</t>
        </is>
      </c>
    </row>
    <row r="74">
      <c r="A74" t="inlineStr">
        <is>
          <t>itsc_4turn_halfload</t>
        </is>
      </c>
      <c r="B74" t="n">
        <v>4</v>
      </c>
      <c r="C74" t="n">
        <v>0.1</v>
      </c>
      <c r="D74" t="n">
        <v>0.5</v>
      </c>
      <c r="E74" t="inlineStr">
        <is>
          <t>단락 루프 전류 I_f [A]</t>
        </is>
      </c>
      <c r="F74" s="4" t="n">
        <v>34.38097503470576</v>
      </c>
      <c r="G74" s="5" t="n"/>
      <c r="H74" s="5" t="n">
        <v>34.3475</v>
      </c>
      <c r="I74" s="5" t="n"/>
      <c r="J74" s="5" t="n"/>
      <c r="K74">
        <f>(F74/H74-1)*100</f>
        <v/>
      </c>
      <c r="M74" t="n">
        <v>1</v>
      </c>
      <c r="N74" s="6">
        <f>IF(ABS(K74)&lt;=M74,"PASS","FAIL")</f>
        <v/>
      </c>
      <c r="O74" s="7" t="inlineStr">
        <is>
          <t>mccm</t>
        </is>
      </c>
      <c r="P74" t="inlineStr">
        <is>
          <t>붙은 턴 고리를 도는 순환 전류 — 선전류보다 훨씬 크다</t>
        </is>
      </c>
    </row>
    <row r="75">
      <c r="A75" t="inlineStr">
        <is>
          <t>itsc_4turn_halfload</t>
        </is>
      </c>
      <c r="B75" t="n">
        <v>4</v>
      </c>
      <c r="C75" t="n">
        <v>0.1</v>
      </c>
      <c r="D75" t="n">
        <v>0.5</v>
      </c>
      <c r="E75" t="inlineStr">
        <is>
          <t>단락 루프 총손실 [W]</t>
        </is>
      </c>
      <c r="F75" s="4" t="n">
        <v>158.1</v>
      </c>
      <c r="G75" s="5" t="n"/>
      <c r="H75" s="5" t="n">
        <v>157.539</v>
      </c>
      <c r="I75" s="5" t="n"/>
      <c r="J75" s="5" t="n"/>
      <c r="K75">
        <f>(F75/H75-1)*100</f>
        <v/>
      </c>
      <c r="M75" t="n">
        <v>2</v>
      </c>
      <c r="N75" s="6">
        <f>IF(ABS(K75)&lt;=M75,"PASS","FAIL")</f>
        <v/>
      </c>
      <c r="O75" s="7" t="inlineStr">
        <is>
          <t>mccm</t>
        </is>
      </c>
      <c r="P75" t="inlineStr">
        <is>
          <t>I_f²·(R_f + μR1) + 단락 턴 동손 → 권선 발열</t>
        </is>
      </c>
    </row>
    <row r="76">
      <c r="A76" t="inlineStr">
        <is>
          <t>itsc_4turn_halfload</t>
        </is>
      </c>
      <c r="B76" t="n">
        <v>4</v>
      </c>
      <c r="C76" t="n">
        <v>0.1</v>
      </c>
      <c r="D76" t="n">
        <v>0.5</v>
      </c>
      <c r="E76" t="inlineStr">
        <is>
          <t>권선 ΔT 정상 상태 [°C]</t>
        </is>
      </c>
      <c r="F76" s="4" t="n"/>
      <c r="G76" s="5" t="n"/>
      <c r="H76" s="5" t="n">
        <v>36.079</v>
      </c>
      <c r="I76" s="5" t="n"/>
      <c r="J76" s="5" t="n"/>
      <c r="M76" t="n">
        <v>5</v>
      </c>
      <c r="N76" s="8" t="inlineStr">
        <is>
          <t>—</t>
        </is>
      </c>
      <c r="O76" s="9" t="inlineStr">
        <is>
          <t>model</t>
        </is>
      </c>
      <c r="P76" t="inlineStr">
        <is>
          <t>통합 모드에서 300 분 후 권선 온도 상승 vs 열 모델 역산(자기 일관성)</t>
        </is>
      </c>
    </row>
    <row r="77">
      <c r="A77" t="inlineStr">
        <is>
          <t>itsc_4turn_halfload</t>
        </is>
      </c>
      <c r="B77" t="n">
        <v>4</v>
      </c>
      <c r="C77" t="n">
        <v>0.1</v>
      </c>
      <c r="D77" t="n">
        <v>0.5</v>
      </c>
      <c r="E77" t="inlineStr">
        <is>
          <t>판정 (장면 끝)</t>
        </is>
      </c>
      <c r="F77" s="4" t="inlineStr">
        <is>
          <t>WARN</t>
        </is>
      </c>
      <c r="G77" s="5" t="n"/>
      <c r="H77" s="5" t="inlineStr">
        <is>
          <t>WARN</t>
        </is>
      </c>
      <c r="I77" s="5" t="n"/>
      <c r="J77" s="5" t="n"/>
      <c r="N77" s="6" t="inlineStr">
        <is>
          <t>PASS</t>
        </is>
      </c>
      <c r="O77" s="9" t="inlineStr">
        <is>
          <t>dataset</t>
        </is>
      </c>
      <c r="P77" t="inlineStr">
        <is>
          <t>임계값 0.05/0.10(참고 데이터셋 provisional) + 전류/정격 규칙</t>
        </is>
      </c>
    </row>
    <row r="78">
      <c r="A78" t="inlineStr">
        <is>
          <t>itsc_4turn_halfload</t>
        </is>
      </c>
      <c r="B78" t="n">
        <v>4</v>
      </c>
      <c r="C78" t="n">
        <v>0.1</v>
      </c>
      <c r="D78" t="n">
        <v>0.5</v>
      </c>
      <c r="E78" t="inlineStr">
        <is>
          <t>탐지 시각 [s] (주입 후)</t>
        </is>
      </c>
      <c r="F78" s="4" t="n">
        <v>3.02</v>
      </c>
      <c r="G78" s="5" t="n"/>
      <c r="H78" s="5" t="n">
        <v>3</v>
      </c>
      <c r="I78" s="5" t="n"/>
      <c r="J78" s="5" t="n"/>
      <c r="K78">
        <f>(F78/H78-1)*100</f>
        <v/>
      </c>
      <c r="M78" t="n">
        <v>20</v>
      </c>
      <c r="N78" s="6">
        <f>IF(ABS(K78)&lt;=M78,"PASS","FAIL")</f>
        <v/>
      </c>
      <c r="O78" s="9" t="inlineStr">
        <is>
          <t>dataset</t>
        </is>
      </c>
      <c r="P78" t="inlineStr">
        <is>
          <t>3 s 지속 규칙 — 합성 신호라 과도 없음</t>
        </is>
      </c>
    </row>
    <row r="80">
      <c r="A80" t="inlineStr">
        <is>
          <t>각주</t>
        </is>
      </c>
      <c r="B80" t="inlineStr">
        <is>
          <t>2D FEM 열은 I_f(F1 보정)·Z₂·정격 해·인덕턴스에만 값이 있다 — 나머지 양은 FEM 이 계산하지 않았다(—). RMxprt 는 정격점만. 권선 ΔT 는 열 모델 자기 일관성(해석값 아님).</t>
        </is>
      </c>
    </row>
    <row r="82">
      <c r="A82" s="2" t="inlineStr">
        <is>
          <t>입력 파일 sha256(앞 16)</t>
        </is>
      </c>
      <c r="B82" t="inlineStr"/>
      <c r="C82" t="inlineStr"/>
      <c r="D82" t="inlineStr"/>
    </row>
    <row r="83">
      <c r="A83" t="inlineStr">
        <is>
          <t>analysis_reference</t>
        </is>
      </c>
      <c r="B83" t="inlineStr">
        <is>
          <t>motor_dt_viz/data/electrical/analysis_reference.json</t>
        </is>
      </c>
      <c r="C83" t="inlineStr">
        <is>
          <t>59765f4dbb91cf68</t>
        </is>
      </c>
    </row>
    <row r="84">
      <c r="A84" t="inlineStr">
        <is>
          <t>sim_vs_analysis</t>
        </is>
      </c>
      <c r="B84" t="inlineStr">
        <is>
          <t>docs/verification/sim_vs_analysis.json</t>
        </is>
      </c>
      <c r="C84" t="inlineStr">
        <is>
          <t>8f1af0be7fa49d74</t>
        </is>
      </c>
    </row>
    <row r="85">
      <c r="A85" t="inlineStr">
        <is>
          <t>lut</t>
        </is>
      </c>
      <c r="B85" t="inlineStr">
        <is>
          <t>motor_dt_viz/data/electrical/M1_mccm_lut_v2.json</t>
        </is>
      </c>
      <c r="C85" t="inlineStr">
        <is>
          <t>c6898c6e8d801f49</t>
        </is>
      </c>
    </row>
    <row r="86">
      <c r="A86" t="inlineStr">
        <is>
          <t>verification_summary</t>
        </is>
      </c>
      <c r="B86" t="inlineStr">
        <is>
          <t>docs/verification_summary.json</t>
        </is>
      </c>
      <c r="C86" t="inlineStr">
        <is>
          <t>b9adb4b8a2b4c7cc</t>
        </is>
      </c>
    </row>
    <row r="87">
      <c r="A87" t="inlineStr">
        <is>
          <t>thresholds</t>
        </is>
      </c>
      <c r="B87" t="inlineStr">
        <is>
          <t>motor_dt_viz/config/thresholds.yaml</t>
        </is>
      </c>
      <c r="C87" t="inlineStr">
        <is>
          <t>92a7e9fb6043903e</t>
        </is>
      </c>
    </row>
    <row r="88">
      <c r="A88" t="inlineStr">
        <is>
          <t>maxwell_mccm_results</t>
        </is>
      </c>
      <c r="B88" t="inlineStr">
        <is>
          <t>C:\Users\sunwu\OneDrive\바탕 화면\권상모터_3D모델링\maxwell/results/mccm_results.json</t>
        </is>
      </c>
      <c r="C88" t="inlineStr">
        <is>
          <t>4e2a832bd6c9c17f</t>
        </is>
      </c>
    </row>
    <row r="89">
      <c r="A89" t="inlineStr">
        <is>
          <t>maxwell_eddy_summary</t>
        </is>
      </c>
      <c r="B89" t="inlineStr">
        <is>
          <t>C:\Users\sunwu\OneDrive\바탕 화면\권상모터_3D모델링\maxwell/results/eddy2d/summary.json</t>
        </is>
      </c>
      <c r="C89" t="inlineStr">
        <is>
          <t>0fb986f232d14d4e</t>
        </is>
      </c>
    </row>
    <row r="90">
      <c r="A90" t="inlineStr">
        <is>
          <t>maxwell_f2</t>
        </is>
      </c>
      <c r="B90" t="inlineStr">
        <is>
          <t>C:\Users\sunwu\OneDrive\바탕 화면\권상모터_3D모델링\maxwell/results/f2_corrections.json</t>
        </is>
      </c>
      <c r="C90" t="inlineStr">
        <is>
          <t>5e21ad5b5d91fda9</t>
        </is>
      </c>
    </row>
    <row r="91">
      <c r="A91" t="inlineStr">
        <is>
          <t>maxwell_rmxprt</t>
        </is>
      </c>
      <c r="B91" t="inlineStr">
        <is>
          <t>C:\Users\sunwu\OneDrive\바탕 화면\권상모터_3D모델링\maxwell/results/rmxprt_v2m2.json</t>
        </is>
      </c>
      <c r="C91" t="inlineStr">
        <is>
          <t>07736423faa11165</t>
        </is>
      </c>
    </row>
    <row r="92">
      <c r="A92" t="inlineStr">
        <is>
          <t>maxwell_inductance</t>
        </is>
      </c>
      <c r="B92" t="inlineStr">
        <is>
          <t>C:\Users\sunwu\OneDrive\바탕 화면\권상모터_3D모델링\maxwell/results/inductance_matrix_2d.json</t>
        </is>
      </c>
      <c r="C92" t="inlineStr">
        <is>
          <t>a36126216cd3ec6c</t>
        </is>
      </c>
    </row>
    <row r="93">
      <c r="A93" t="inlineStr">
        <is>
          <t>state_a0</t>
        </is>
      </c>
      <c r="B93" t="inlineStr">
        <is>
          <t>motor_dt_viz/logs/verify/electrical_a0/state.csv</t>
        </is>
      </c>
      <c r="C93" t="inlineStr">
        <is>
          <t>0c7524ce74150076</t>
        </is>
      </c>
    </row>
    <row r="94">
      <c r="A94" t="inlineStr">
        <is>
          <t>state_a90</t>
        </is>
      </c>
      <c r="B94" t="inlineStr">
        <is>
          <t>motor_dt_viz/logs/verify/electrical_a90/state.csv</t>
        </is>
      </c>
      <c r="C94" t="inlineStr">
        <is>
          <t>8a73bc7b461565b9</t>
        </is>
      </c>
    </row>
    <row r="95">
      <c r="A95" t="inlineStr">
        <is>
          <t>state_a180</t>
        </is>
      </c>
      <c r="B95" t="inlineStr">
        <is>
          <t>motor_dt_viz/logs/verify/electrical_a180/state.csv</t>
        </is>
      </c>
      <c r="C95" t="inlineStr">
        <is>
          <t>be8476ed7628b493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24" customWidth="1" min="7" max="7"/>
    <col width="50" customWidth="1" min="8" max="8"/>
  </cols>
  <sheetData>
    <row r="1">
      <c r="A1" s="3" t="inlineStr">
        <is>
          <t>항목</t>
        </is>
      </c>
      <c r="B1" s="3" t="inlineStr">
        <is>
          <t>시뮬 (정상 시나리오)</t>
        </is>
      </c>
      <c r="C1" s="3" t="inlineStr">
        <is>
          <t>카탈로그</t>
        </is>
      </c>
      <c r="D1" s="3" t="inlineStr">
        <is>
          <t>RMxprt v2m2</t>
        </is>
      </c>
      <c r="E1" s="3" t="inlineStr">
        <is>
          <t>2D FEM lite</t>
        </is>
      </c>
      <c r="F1" s="3" t="inlineStr">
        <is>
          <t>2D FEM + F2 보정</t>
        </is>
      </c>
      <c r="G1" s="3" t="inlineStr">
        <is>
          <t>IEC 60034-1 허용</t>
        </is>
      </c>
      <c r="H1" s="3" t="inlineStr">
        <is>
          <t>비고</t>
        </is>
      </c>
    </row>
    <row r="2">
      <c r="A2" t="inlineStr">
        <is>
          <t>정격 전류 I₁ [A]</t>
        </is>
      </c>
      <c r="B2" s="10" t="n">
        <v>4.69464</v>
      </c>
      <c r="C2" s="10" t="n">
        <v>4.73</v>
      </c>
      <c r="D2" s="10" t="n">
        <v>4.67029</v>
      </c>
      <c r="E2" s="10" t="n">
        <v>4.903921370548503</v>
      </c>
      <c r="F2" s="10" t="n"/>
      <c r="G2" t="inlineStr">
        <is>
          <t>허용차 없음(역률·효율로 간접)</t>
        </is>
      </c>
      <c r="H2" t="inlineStr">
        <is>
          <t>시뮬 정상 I₁ = LUT 정상 격자 I1_A(MCCM 물리 보정 전류)</t>
        </is>
      </c>
    </row>
    <row r="3">
      <c r="A3" t="inlineStr">
        <is>
          <t>정상 r = I_R/I_n</t>
        </is>
      </c>
      <c r="B3" s="10" t="n">
        <v>1.019323467230444</v>
      </c>
      <c r="C3" s="10" t="n">
        <v>1</v>
      </c>
      <c r="D3" s="10" t="n">
        <v>0.9873763213530654</v>
      </c>
      <c r="E3" s="10" t="n">
        <v>1.036769845781925</v>
      </c>
      <c r="F3" s="10" t="n"/>
      <c r="G3" t="inlineStr"/>
      <c r="H3" t="inlineStr">
        <is>
          <t>고유 비대칭 0.027 로 R상이 약간 크다</t>
        </is>
      </c>
    </row>
    <row r="4">
      <c r="A4" t="inlineStr">
        <is>
          <t>역률</t>
        </is>
      </c>
      <c r="B4" s="10" t="n"/>
      <c r="C4" s="10" t="n">
        <v>0.79</v>
      </c>
      <c r="D4" s="10" t="n">
        <v>0.790916</v>
      </c>
      <c r="E4" s="10" t="n">
        <v>0.7400953642109238</v>
      </c>
      <c r="F4" s="10" t="n"/>
      <c r="G4" t="inlineStr">
        <is>
          <t>≥ 0.755</t>
        </is>
      </c>
      <c r="H4" t="inlineStr">
        <is>
          <t>FEM lite 0.740 미달(유일) — 2D 누설 과대</t>
        </is>
      </c>
    </row>
    <row r="5">
      <c r="A5" t="inlineStr">
        <is>
          <t>효율</t>
        </is>
      </c>
      <c r="B5" s="10" t="n"/>
      <c r="C5" s="10" t="n">
        <v>0.895</v>
      </c>
      <c r="D5" s="10" t="n">
        <v>0.895818</v>
      </c>
      <c r="E5" s="10" t="n">
        <v>0.9146508966080783</v>
      </c>
      <c r="F5" s="10" t="n"/>
      <c r="G5" t="inlineStr">
        <is>
          <t>≥ 0.879</t>
        </is>
      </c>
      <c r="H5" t="inlineStr"/>
    </row>
    <row r="6">
      <c r="A6" t="inlineStr">
        <is>
          <t>정격 회전수 [rpm]</t>
        </is>
      </c>
      <c r="B6" s="10" t="n"/>
      <c r="C6" s="10" t="n">
        <v>1760</v>
      </c>
      <c r="D6" s="10" t="n">
        <v>1755.1</v>
      </c>
      <c r="E6" s="10" t="n"/>
      <c r="F6" s="10" t="n"/>
      <c r="G6" t="inlineStr">
        <is>
          <t>슬립 ±20 % → 0.0178~0.0266</t>
        </is>
      </c>
      <c r="H6" t="inlineStr"/>
    </row>
    <row r="7">
      <c r="A7" t="inlineStr">
        <is>
          <t>잠김 전류비 [×]</t>
        </is>
      </c>
      <c r="B7" s="10" t="n"/>
      <c r="C7" s="10" t="n">
        <v>6.5</v>
      </c>
      <c r="D7" s="10" t="n">
        <v>8.240399999999999</v>
      </c>
      <c r="E7" s="10" t="n">
        <v>8.247455775240095</v>
      </c>
      <c r="F7" s="10" t="n">
        <v>7.429110695745793</v>
      </c>
      <c r="G7" t="inlineStr">
        <is>
          <t>≤ 7.8</t>
        </is>
      </c>
      <c r="H7" t="inlineStr">
        <is>
          <t>시뮬에 기동 장면 없음(참고)</t>
        </is>
      </c>
    </row>
    <row r="8">
      <c r="A8" t="inlineStr">
        <is>
          <t>잠김 토크비 [×]</t>
        </is>
      </c>
      <c r="B8" s="10" t="n"/>
      <c r="C8" s="10" t="n">
        <v>2.1</v>
      </c>
      <c r="D8" s="10" t="n">
        <v>3.08651</v>
      </c>
      <c r="E8" s="10" t="n">
        <v>2.883091717080469</v>
      </c>
      <c r="F8" s="10" t="n">
        <v>2.33933342694718</v>
      </c>
      <c r="G8" t="inlineStr">
        <is>
          <t>1.785~2.625</t>
        </is>
      </c>
      <c r="H8" t="inlineStr">
        <is>
          <t>스큐·엔드링 누설 보정(F2)</t>
        </is>
      </c>
    </row>
    <row r="9">
      <c r="A9" t="inlineStr">
        <is>
          <t>최대 토크비 [×]</t>
        </is>
      </c>
      <c r="B9" s="10" t="n"/>
      <c r="C9" s="10" t="n">
        <v>2.5</v>
      </c>
      <c r="D9" s="10" t="n">
        <v>4.15753</v>
      </c>
      <c r="E9" s="10" t="n"/>
      <c r="F9" s="10" t="n"/>
      <c r="G9" t="inlineStr">
        <is>
          <t>≥ 2.25</t>
        </is>
      </c>
      <c r="H9" t="inlineStr"/>
    </row>
    <row r="11">
      <c r="A11" s="2" t="inlineStr">
        <is>
          <t>입력 파일 sha256(앞 16)</t>
        </is>
      </c>
      <c r="B11" t="inlineStr"/>
      <c r="C11" t="inlineStr"/>
      <c r="D11" t="inlineStr"/>
    </row>
    <row r="12">
      <c r="A12" t="inlineStr">
        <is>
          <t>analysis_reference</t>
        </is>
      </c>
      <c r="B12" t="inlineStr">
        <is>
          <t>motor_dt_viz/data/electrical/analysis_reference.json</t>
        </is>
      </c>
      <c r="C12" t="inlineStr">
        <is>
          <t>59765f4dbb91cf68</t>
        </is>
      </c>
    </row>
    <row r="13">
      <c r="A13" t="inlineStr">
        <is>
          <t>sim_vs_analysis</t>
        </is>
      </c>
      <c r="B13" t="inlineStr">
        <is>
          <t>docs/verification/sim_vs_analysis.json</t>
        </is>
      </c>
      <c r="C13" t="inlineStr">
        <is>
          <t>8f1af0be7fa49d74</t>
        </is>
      </c>
    </row>
    <row r="14">
      <c r="A14" t="inlineStr">
        <is>
          <t>lut</t>
        </is>
      </c>
      <c r="B14" t="inlineStr">
        <is>
          <t>motor_dt_viz/data/electrical/M1_mccm_lut_v2.json</t>
        </is>
      </c>
      <c r="C14" t="inlineStr">
        <is>
          <t>c6898c6e8d801f49</t>
        </is>
      </c>
    </row>
    <row r="15">
      <c r="A15" t="inlineStr">
        <is>
          <t>verification_summary</t>
        </is>
      </c>
      <c r="B15" t="inlineStr">
        <is>
          <t>docs/verification_summary.json</t>
        </is>
      </c>
      <c r="C15" t="inlineStr">
        <is>
          <t>b9adb4b8a2b4c7cc</t>
        </is>
      </c>
    </row>
    <row r="16">
      <c r="A16" t="inlineStr">
        <is>
          <t>thresholds</t>
        </is>
      </c>
      <c r="B16" t="inlineStr">
        <is>
          <t>motor_dt_viz/config/thresholds.yaml</t>
        </is>
      </c>
      <c r="C16" t="inlineStr">
        <is>
          <t>92a7e9fb6043903e</t>
        </is>
      </c>
    </row>
    <row r="17">
      <c r="A17" t="inlineStr">
        <is>
          <t>maxwell_mccm_results</t>
        </is>
      </c>
      <c r="B17" t="inlineStr">
        <is>
          <t>C:\Users\sunwu\OneDrive\바탕 화면\권상모터_3D모델링\maxwell/results/mccm_results.json</t>
        </is>
      </c>
      <c r="C17" t="inlineStr">
        <is>
          <t>4e2a832bd6c9c17f</t>
        </is>
      </c>
    </row>
    <row r="18">
      <c r="A18" t="inlineStr">
        <is>
          <t>maxwell_eddy_summary</t>
        </is>
      </c>
      <c r="B18" t="inlineStr">
        <is>
          <t>C:\Users\sunwu\OneDrive\바탕 화면\권상모터_3D모델링\maxwell/results/eddy2d/summary.json</t>
        </is>
      </c>
      <c r="C18" t="inlineStr">
        <is>
          <t>0fb986f232d14d4e</t>
        </is>
      </c>
    </row>
    <row r="19">
      <c r="A19" t="inlineStr">
        <is>
          <t>maxwell_f2</t>
        </is>
      </c>
      <c r="B19" t="inlineStr">
        <is>
          <t>C:\Users\sunwu\OneDrive\바탕 화면\권상모터_3D모델링\maxwell/results/f2_corrections.json</t>
        </is>
      </c>
      <c r="C19" t="inlineStr">
        <is>
          <t>5e21ad5b5d91fda9</t>
        </is>
      </c>
    </row>
    <row r="20">
      <c r="A20" t="inlineStr">
        <is>
          <t>maxwell_rmxprt</t>
        </is>
      </c>
      <c r="B20" t="inlineStr">
        <is>
          <t>C:\Users\sunwu\OneDrive\바탕 화면\권상모터_3D모델링\maxwell/results/rmxprt_v2m2.json</t>
        </is>
      </c>
      <c r="C20" t="inlineStr">
        <is>
          <t>07736423faa11165</t>
        </is>
      </c>
    </row>
    <row r="21">
      <c r="A21" t="inlineStr">
        <is>
          <t>maxwell_inductance</t>
        </is>
      </c>
      <c r="B21" t="inlineStr">
        <is>
          <t>C:\Users\sunwu\OneDrive\바탕 화면\권상모터_3D모델링\maxwell/results/inductance_matrix_2d.json</t>
        </is>
      </c>
      <c r="C21" t="inlineStr">
        <is>
          <t>a36126216cd3ec6c</t>
        </is>
      </c>
    </row>
    <row r="22">
      <c r="A22" t="inlineStr">
        <is>
          <t>state_a0</t>
        </is>
      </c>
      <c r="B22" t="inlineStr">
        <is>
          <t>motor_dt_viz/logs/verify/electrical_a0/state.csv</t>
        </is>
      </c>
      <c r="C22" t="inlineStr">
        <is>
          <t>0c7524ce74150076</t>
        </is>
      </c>
    </row>
    <row r="23">
      <c r="A23" t="inlineStr">
        <is>
          <t>state_a90</t>
        </is>
      </c>
      <c r="B23" t="inlineStr">
        <is>
          <t>motor_dt_viz/logs/verify/electrical_a90/state.csv</t>
        </is>
      </c>
      <c r="C23" t="inlineStr">
        <is>
          <t>8a73bc7b461565b9</t>
        </is>
      </c>
    </row>
    <row r="24">
      <c r="A24" t="inlineStr">
        <is>
          <t>state_a180</t>
        </is>
      </c>
      <c r="B24" t="inlineStr">
        <is>
          <t>motor_dt_viz/logs/verify/electrical_a180/state.csv</t>
        </is>
      </c>
      <c r="C24" t="inlineStr">
        <is>
          <t>be8476ed7628b493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8" customWidth="1" min="4" max="4"/>
    <col width="6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16" customWidth="1" min="12" max="12"/>
    <col width="18" customWidth="1" min="13" max="13"/>
    <col width="50" customWidth="1" min="14" max="14"/>
  </cols>
  <sheetData>
    <row r="1">
      <c r="A1" s="3" t="inlineStr">
        <is>
          <t>고유 비대칭 각도 [°]</t>
        </is>
      </c>
      <c r="B1" s="3" t="inlineStr">
        <is>
          <t>시나리오</t>
        </is>
      </c>
      <c r="C1" s="3" t="inlineStr">
        <is>
          <t>주입 턴</t>
        </is>
      </c>
      <c r="D1" s="3" t="inlineStr">
        <is>
          <t>R_f [Ω]</t>
        </is>
      </c>
      <c r="E1" s="3" t="inlineStr">
        <is>
          <t>부하</t>
        </is>
      </c>
      <c r="F1" s="3" t="inlineStr">
        <is>
          <t>시뮬 I₂/I₁ 합성</t>
        </is>
      </c>
      <c r="G1" s="3" t="inlineStr">
        <is>
          <t>결함분 (고유 분리 후)</t>
        </is>
      </c>
      <c r="H1" s="3" t="inlineStr">
        <is>
          <t>추정 턴 (LUT 역보간)</t>
        </is>
      </c>
      <c r="I1" s="3" t="inlineStr">
        <is>
          <t>오차 [턴] (수식)</t>
        </is>
      </c>
      <c r="J1" s="3" t="inlineStr">
        <is>
          <t>판정 ±1턴 (수식)</t>
        </is>
      </c>
      <c r="K1" s="3" t="inlineStr">
        <is>
          <t>격자 범위</t>
        </is>
      </c>
      <c r="L1" s="3" t="inlineStr">
        <is>
          <t>합성값으로 역추정한 턴</t>
        </is>
      </c>
      <c r="M1" s="3" t="inlineStr">
        <is>
          <t>오차 [턴] (현장: 고유 비대칭 모를 때)</t>
        </is>
      </c>
      <c r="N1" s="3" t="inlineStr">
        <is>
          <t>쉬운 설명</t>
        </is>
      </c>
    </row>
    <row r="2">
      <c r="A2" t="n">
        <v>0</v>
      </c>
      <c r="B2" t="inlineStr">
        <is>
          <t>itsc_4turn</t>
        </is>
      </c>
      <c r="C2" t="n">
        <v>4</v>
      </c>
      <c r="D2" t="n">
        <v>0.1</v>
      </c>
      <c r="E2" t="n">
        <v>1</v>
      </c>
      <c r="F2" s="5" t="n">
        <v>0.07262</v>
      </c>
      <c r="G2" s="5" t="n">
        <v>0.04896494627337946</v>
      </c>
      <c r="H2" s="5" t="n">
        <v>3.999893811563178</v>
      </c>
      <c r="I2">
        <f>H2-C2</f>
        <v/>
      </c>
      <c r="J2" s="6">
        <f>IF(ABS(I2)&lt;=1,"PASS","FAIL")</f>
        <v/>
      </c>
      <c r="K2" t="inlineStr">
        <is>
          <t>ok</t>
        </is>
      </c>
      <c r="L2" s="5" t="n">
        <v>4.994532257264421</v>
      </c>
      <c r="M2">
        <f>L2-C2</f>
        <v/>
      </c>
      <c r="N2" t="inlineStr">
        <is>
          <t>결함분만 쓰면 턴수를 거의 그대로 되찾는다</t>
        </is>
      </c>
    </row>
    <row r="3">
      <c r="A3" t="n">
        <v>0</v>
      </c>
      <c r="B3" t="inlineStr">
        <is>
          <t>itsc_8turn</t>
        </is>
      </c>
      <c r="C3" t="n">
        <v>8</v>
      </c>
      <c r="D3" t="n">
        <v>0.1</v>
      </c>
      <c r="E3" t="n">
        <v>1</v>
      </c>
      <c r="F3" s="5" t="n">
        <v>0.16757</v>
      </c>
      <c r="G3" s="5" t="n">
        <v>0.144095320424096</v>
      </c>
      <c r="H3" s="5" t="n">
        <v>7.999898570705368</v>
      </c>
      <c r="I3">
        <f>H3-C3</f>
        <v/>
      </c>
      <c r="J3" s="6">
        <f>IF(ABS(I3)&lt;=1,"PASS","FAIL")</f>
        <v/>
      </c>
      <c r="K3" t="inlineStr">
        <is>
          <t>ok</t>
        </is>
      </c>
      <c r="L3" s="5" t="n">
        <v>8.926095776818775</v>
      </c>
      <c r="M3">
        <f>L3-C3</f>
        <v/>
      </c>
      <c r="N3" t="inlineStr">
        <is>
          <t>결함분만 쓰면 턴수를 거의 그대로 되찾는다</t>
        </is>
      </c>
    </row>
    <row r="4">
      <c r="A4" t="n">
        <v>0</v>
      </c>
      <c r="B4" t="inlineStr">
        <is>
          <t>itsc_12turn</t>
        </is>
      </c>
      <c r="C4" t="n">
        <v>12</v>
      </c>
      <c r="D4" t="n">
        <v>0.1</v>
      </c>
      <c r="E4" t="n">
        <v>1</v>
      </c>
      <c r="F4" s="5" t="n">
        <v>0.26958</v>
      </c>
      <c r="G4" s="5" t="n">
        <v>0.2455150235294323</v>
      </c>
      <c r="H4" s="5" t="n">
        <v>12.00009799784551</v>
      </c>
      <c r="I4">
        <f>H4-C4</f>
        <v/>
      </c>
      <c r="J4" s="6">
        <f>IF(ABS(I4)&lt;=1,"PASS","FAIL")</f>
        <v/>
      </c>
      <c r="K4" t="inlineStr">
        <is>
          <t>ok</t>
        </is>
      </c>
      <c r="L4" s="5" t="n">
        <v>13.04215433374493</v>
      </c>
      <c r="M4">
        <f>L4-C4</f>
        <v/>
      </c>
      <c r="N4" t="inlineStr">
        <is>
          <t>결함분만 쓰면 턴수를 거의 그대로 되찾는다</t>
        </is>
      </c>
    </row>
    <row r="5">
      <c r="A5" t="n">
        <v>0</v>
      </c>
      <c r="B5" t="inlineStr">
        <is>
          <t>itsc_16turn</t>
        </is>
      </c>
      <c r="C5" t="n">
        <v>16</v>
      </c>
      <c r="D5" t="n">
        <v>0.1</v>
      </c>
      <c r="E5" t="n">
        <v>1</v>
      </c>
      <c r="F5" s="5" t="n">
        <v>0.36253</v>
      </c>
      <c r="G5" s="5" t="n">
        <v>0.3378533926868585</v>
      </c>
      <c r="H5" s="5" t="n">
        <v>15.99981849633375</v>
      </c>
      <c r="I5">
        <f>H5-C5</f>
        <v/>
      </c>
      <c r="J5" s="6">
        <f>IF(ABS(I5)&lt;=1,"PASS","FAIL")</f>
        <v/>
      </c>
      <c r="K5" t="inlineStr">
        <is>
          <t>ok</t>
        </is>
      </c>
      <c r="L5" s="5" t="n">
        <v>17.3520702063501</v>
      </c>
      <c r="M5">
        <f>L5-C5</f>
        <v/>
      </c>
      <c r="N5" t="inlineStr">
        <is>
          <t>결함분만 쓰면 턴수를 거의 그대로 되찾는다</t>
        </is>
      </c>
    </row>
    <row r="6">
      <c r="A6" t="n">
        <v>0</v>
      </c>
      <c r="B6" t="inlineStr">
        <is>
          <t>itsc_4turn_resistive</t>
        </is>
      </c>
      <c r="C6" t="n">
        <v>4</v>
      </c>
      <c r="D6" t="n">
        <v>1</v>
      </c>
      <c r="E6" t="n">
        <v>1</v>
      </c>
      <c r="F6" s="5" t="n">
        <v>0.03244</v>
      </c>
      <c r="G6" s="5" t="n">
        <v>0.006541630145571976</v>
      </c>
      <c r="H6" s="5" t="n">
        <v>4.000317457779448</v>
      </c>
      <c r="I6">
        <f>H6-C6</f>
        <v/>
      </c>
      <c r="J6" s="6">
        <f>IF(ABS(I6)&lt;=1,"PASS","FAIL")</f>
        <v/>
      </c>
      <c r="K6" t="inlineStr">
        <is>
          <t>ok</t>
        </is>
      </c>
      <c r="L6" s="5" t="n">
        <v>9.074529761575564</v>
      </c>
      <c r="M6">
        <f>L6-C6</f>
        <v/>
      </c>
      <c r="N6" t="inlineStr">
        <is>
          <t>결함분만 쓰면 턴수를 거의 그대로 되찾는다</t>
        </is>
      </c>
    </row>
    <row r="7">
      <c r="A7" t="n">
        <v>0</v>
      </c>
      <c r="B7" t="inlineStr">
        <is>
          <t>itsc_4turn_halfload</t>
        </is>
      </c>
      <c r="C7" t="n">
        <v>4</v>
      </c>
      <c r="D7" t="n">
        <v>0.1</v>
      </c>
      <c r="E7" t="n">
        <v>0.5</v>
      </c>
      <c r="F7" s="5" t="n">
        <v>0.09529</v>
      </c>
      <c r="G7" s="5" t="n">
        <v>0.07472571159380777</v>
      </c>
      <c r="H7" s="5" t="n">
        <v>3.999876970192746</v>
      </c>
      <c r="I7">
        <f>H7-C7</f>
        <v/>
      </c>
      <c r="J7" s="6">
        <f>IF(ABS(I7)&lt;=1,"PASS","FAIL")</f>
        <v/>
      </c>
      <c r="K7" t="inlineStr">
        <is>
          <t>ok</t>
        </is>
      </c>
      <c r="L7" s="5" t="n">
        <v>4.590630144889268</v>
      </c>
      <c r="M7">
        <f>L7-C7</f>
        <v/>
      </c>
      <c r="N7" t="inlineStr">
        <is>
          <t>결함분만 쓰면 턴수를 거의 그대로 되찾는다</t>
        </is>
      </c>
    </row>
    <row r="8">
      <c r="A8" t="n">
        <v>90</v>
      </c>
      <c r="B8" t="inlineStr">
        <is>
          <t>itsc_4turn</t>
        </is>
      </c>
      <c r="C8" t="n">
        <v>4</v>
      </c>
      <c r="D8" t="n">
        <v>0.1</v>
      </c>
      <c r="E8" t="n">
        <v>1</v>
      </c>
      <c r="F8" s="5" t="n">
        <v>0.06834</v>
      </c>
      <c r="G8" s="5" t="n">
        <v>0.04896985126590076</v>
      </c>
      <c r="H8" s="5" t="n">
        <v>4.000100054769976</v>
      </c>
      <c r="I8">
        <f>H8-C8</f>
        <v/>
      </c>
      <c r="J8" s="6">
        <f>IF(ABS(I8)&lt;=1,"PASS","FAIL")</f>
        <v/>
      </c>
      <c r="K8" t="inlineStr">
        <is>
          <t>ok</t>
        </is>
      </c>
      <c r="L8" s="5" t="n">
        <v>4.814568491516952</v>
      </c>
      <c r="M8">
        <f>L8-C8</f>
        <v/>
      </c>
      <c r="N8" t="inlineStr">
        <is>
          <t>결함분만 쓰면 턴수를 거의 그대로 되찾는다</t>
        </is>
      </c>
    </row>
    <row r="9">
      <c r="A9" t="n">
        <v>90</v>
      </c>
      <c r="B9" t="inlineStr">
        <is>
          <t>itsc_8turn</t>
        </is>
      </c>
      <c r="C9" t="n">
        <v>8</v>
      </c>
      <c r="D9" t="n">
        <v>0.1</v>
      </c>
      <c r="E9" t="n">
        <v>1</v>
      </c>
      <c r="F9" s="5" t="n">
        <v>0.16011</v>
      </c>
      <c r="G9" s="5" t="n">
        <v>0.1440985755903021</v>
      </c>
      <c r="H9" s="5" t="n">
        <v>8.000035442660645</v>
      </c>
      <c r="I9">
        <f>H9-C9</f>
        <v/>
      </c>
      <c r="J9" s="6">
        <f>IF(ABS(I9)&lt;=1,"PASS","FAIL")</f>
        <v/>
      </c>
      <c r="K9" t="inlineStr">
        <is>
          <t>ok</t>
        </is>
      </c>
      <c r="L9" s="5" t="n">
        <v>8.631888522811327</v>
      </c>
      <c r="M9">
        <f>L9-C9</f>
        <v/>
      </c>
      <c r="N9" t="inlineStr">
        <is>
          <t>결함분만 쓰면 턴수를 거의 그대로 되찾는다</t>
        </is>
      </c>
    </row>
    <row r="10">
      <c r="A10" t="n">
        <v>90</v>
      </c>
      <c r="B10" t="inlineStr">
        <is>
          <t>itsc_12turn</t>
        </is>
      </c>
      <c r="C10" t="n">
        <v>12</v>
      </c>
      <c r="D10" t="n">
        <v>0.1</v>
      </c>
      <c r="E10" t="n">
        <v>1</v>
      </c>
      <c r="F10" s="5" t="n">
        <v>0.25943</v>
      </c>
      <c r="G10" s="5" t="n">
        <v>0.2455147449762798</v>
      </c>
      <c r="H10" s="5" t="n">
        <v>12.00008593599797</v>
      </c>
      <c r="I10">
        <f>H10-C10</f>
        <v/>
      </c>
      <c r="J10" s="6">
        <f>IF(ABS(I10)&lt;=1,"PASS","FAIL")</f>
        <v/>
      </c>
      <c r="K10" t="inlineStr">
        <is>
          <t>ok</t>
        </is>
      </c>
      <c r="L10" s="5" t="n">
        <v>12.60264125870349</v>
      </c>
      <c r="M10">
        <f>L10-C10</f>
        <v/>
      </c>
      <c r="N10" t="inlineStr">
        <is>
          <t>결함분만 쓰면 턴수를 거의 그대로 되찾는다</t>
        </is>
      </c>
    </row>
    <row r="11">
      <c r="A11" t="n">
        <v>90</v>
      </c>
      <c r="B11" t="inlineStr">
        <is>
          <t>itsc_16turn</t>
        </is>
      </c>
      <c r="C11" t="n">
        <v>16</v>
      </c>
      <c r="D11" t="n">
        <v>0.1</v>
      </c>
      <c r="E11" t="n">
        <v>1</v>
      </c>
      <c r="F11" s="5" t="n">
        <v>0.35006</v>
      </c>
      <c r="G11" s="5" t="n">
        <v>0.3378525654657081</v>
      </c>
      <c r="H11" s="5" t="n">
        <v>15.99977316549871</v>
      </c>
      <c r="I11">
        <f>H11-C11</f>
        <v/>
      </c>
      <c r="J11" s="6">
        <f>IF(ABS(I11)&lt;=1,"PASS","FAIL")</f>
        <v/>
      </c>
      <c r="K11" t="inlineStr">
        <is>
          <t>ok</t>
        </is>
      </c>
      <c r="L11" s="5" t="n">
        <v>16.66872753245976</v>
      </c>
      <c r="M11">
        <f>L11-C11</f>
        <v/>
      </c>
      <c r="N11" t="inlineStr">
        <is>
          <t>결함분만 쓰면 턴수를 거의 그대로 되찾는다</t>
        </is>
      </c>
    </row>
    <row r="12">
      <c r="A12" t="n">
        <v>90</v>
      </c>
      <c r="B12" t="inlineStr">
        <is>
          <t>itsc_4turn_resistive</t>
        </is>
      </c>
      <c r="C12" t="n">
        <v>4</v>
      </c>
      <c r="D12" t="n">
        <v>1</v>
      </c>
      <c r="E12" t="n">
        <v>1</v>
      </c>
      <c r="F12" s="5" t="n">
        <v>0.03141</v>
      </c>
      <c r="G12" s="5" t="n">
        <v>0.00654236690215858</v>
      </c>
      <c r="H12" s="5" t="n">
        <v>4.000478358178933</v>
      </c>
      <c r="I12">
        <f>H12-C12</f>
        <v/>
      </c>
      <c r="J12" s="6">
        <f>IF(ABS(I12)&lt;=1,"PASS","FAIL")</f>
        <v/>
      </c>
      <c r="K12" t="inlineStr">
        <is>
          <t>ok</t>
        </is>
      </c>
      <c r="L12" s="5" t="n">
        <v>8.928901586151991</v>
      </c>
      <c r="M12">
        <f>L12-C12</f>
        <v/>
      </c>
      <c r="N12" t="inlineStr">
        <is>
          <t>결함분만 쓰면 턴수를 거의 그대로 되찾는다</t>
        </is>
      </c>
    </row>
    <row r="13">
      <c r="A13" t="n">
        <v>90</v>
      </c>
      <c r="B13" t="inlineStr">
        <is>
          <t>itsc_4turn_halfload</t>
        </is>
      </c>
      <c r="C13" t="n">
        <v>4</v>
      </c>
      <c r="D13" t="n">
        <v>0.1</v>
      </c>
      <c r="E13" t="n">
        <v>0.5</v>
      </c>
      <c r="F13" s="5" t="n">
        <v>0.09618</v>
      </c>
      <c r="G13" s="5" t="n">
        <v>0.07473021761026555</v>
      </c>
      <c r="H13" s="5" t="n">
        <v>4.00000641515457</v>
      </c>
      <c r="I13">
        <f>H13-C13</f>
        <v/>
      </c>
      <c r="J13" s="6">
        <f>IF(ABS(I13)&lt;=1,"PASS","FAIL")</f>
        <v/>
      </c>
      <c r="K13" t="inlineStr">
        <is>
          <t>ok</t>
        </is>
      </c>
      <c r="L13" s="5" t="n">
        <v>4.616197298738443</v>
      </c>
      <c r="M13">
        <f>L13-C13</f>
        <v/>
      </c>
      <c r="N13" t="inlineStr">
        <is>
          <t>결함분만 쓰면 턴수를 거의 그대로 되찾는다</t>
        </is>
      </c>
    </row>
    <row r="14">
      <c r="A14" t="n">
        <v>180</v>
      </c>
      <c r="B14" t="inlineStr">
        <is>
          <t>itsc_4turn</t>
        </is>
      </c>
      <c r="C14" t="n">
        <v>4</v>
      </c>
      <c r="D14" t="n">
        <v>0.1</v>
      </c>
      <c r="E14" t="n">
        <v>1</v>
      </c>
      <c r="F14" s="5" t="n">
        <v>0.0313</v>
      </c>
      <c r="G14" s="5" t="n">
        <v>0.04896898405159959</v>
      </c>
      <c r="H14" s="5" t="n">
        <v>4.000063590482279</v>
      </c>
      <c r="I14">
        <f>H14-C14</f>
        <v/>
      </c>
      <c r="J14" s="6">
        <f>IF(ABS(I14)&lt;=1,"PASS","FAIL")</f>
        <v/>
      </c>
      <c r="K14" t="inlineStr">
        <is>
          <t>ok</t>
        </is>
      </c>
      <c r="L14" s="5" t="n">
        <v>2.979574343027737</v>
      </c>
      <c r="M14">
        <f>L14-C14</f>
        <v/>
      </c>
      <c r="N14" t="inlineStr">
        <is>
          <t>결함분만 쓰면 턴수를 거의 그대로 되찾는다</t>
        </is>
      </c>
    </row>
    <row r="15">
      <c r="A15" t="n">
        <v>180</v>
      </c>
      <c r="B15" t="inlineStr">
        <is>
          <t>itsc_8turn</t>
        </is>
      </c>
      <c r="C15" t="n">
        <v>8</v>
      </c>
      <c r="D15" t="n">
        <v>0.1</v>
      </c>
      <c r="E15" t="n">
        <v>1</v>
      </c>
      <c r="F15" s="5" t="n">
        <v>0.12209</v>
      </c>
      <c r="G15" s="5" t="n">
        <v>0.1440984758895634</v>
      </c>
      <c r="H15" s="5" t="n">
        <v>8.000031250482982</v>
      </c>
      <c r="I15">
        <f>H15-C15</f>
        <v/>
      </c>
      <c r="J15" s="6">
        <f>IF(ABS(I15)&lt;=1,"PASS","FAIL")</f>
        <v/>
      </c>
      <c r="K15" t="inlineStr">
        <is>
          <t>ok</t>
        </is>
      </c>
      <c r="L15" s="5" t="n">
        <v>7.074627465565182</v>
      </c>
      <c r="M15">
        <f>L15-C15</f>
        <v/>
      </c>
      <c r="N15" t="inlineStr">
        <is>
          <t>결함분만 쓰면 턴수를 거의 그대로 되찾는다</t>
        </is>
      </c>
    </row>
    <row r="16">
      <c r="A16" t="n">
        <v>180</v>
      </c>
      <c r="B16" t="inlineStr">
        <is>
          <t>itsc_12turn</t>
        </is>
      </c>
      <c r="C16" t="n">
        <v>12</v>
      </c>
      <c r="D16" t="n">
        <v>0.1</v>
      </c>
      <c r="E16" t="n">
        <v>1</v>
      </c>
      <c r="F16" s="5" t="n">
        <v>0.22212</v>
      </c>
      <c r="G16" s="5" t="n">
        <v>0.2455091441531367</v>
      </c>
      <c r="H16" s="5" t="n">
        <v>11.99985738284894</v>
      </c>
      <c r="I16">
        <f>H16-C16</f>
        <v/>
      </c>
      <c r="J16" s="6">
        <f>IF(ABS(I16)&lt;=1,"PASS","FAIL")</f>
        <v/>
      </c>
      <c r="K16" t="inlineStr">
        <is>
          <t>ok</t>
        </is>
      </c>
      <c r="L16" s="5" t="n">
        <v>11.07743702428611</v>
      </c>
      <c r="M16">
        <f>L16-C16</f>
        <v/>
      </c>
      <c r="N16" t="inlineStr">
        <is>
          <t>결함분만 쓰면 턴수를 거의 그대로 되찾는다</t>
        </is>
      </c>
    </row>
    <row r="17">
      <c r="A17" t="n">
        <v>180</v>
      </c>
      <c r="B17" t="inlineStr">
        <is>
          <t>itsc_16turn</t>
        </is>
      </c>
      <c r="C17" t="n">
        <v>16</v>
      </c>
      <c r="D17" t="n">
        <v>0.1</v>
      </c>
      <c r="E17" t="n">
        <v>1</v>
      </c>
      <c r="F17" s="5" t="n">
        <v>0.31356</v>
      </c>
      <c r="G17" s="5" t="n">
        <v>0.3378535040257991</v>
      </c>
      <c r="H17" s="5" t="n">
        <v>15.99982459758871</v>
      </c>
      <c r="I17">
        <f>H17-C17</f>
        <v/>
      </c>
      <c r="J17" s="6">
        <f>IF(ABS(I17)&lt;=1,"PASS","FAIL")</f>
        <v/>
      </c>
      <c r="K17" t="inlineStr">
        <is>
          <t>ok</t>
        </is>
      </c>
      <c r="L17" s="5" t="n">
        <v>14.94656665298852</v>
      </c>
      <c r="M17">
        <f>L17-C17</f>
        <v/>
      </c>
      <c r="N17" t="inlineStr">
        <is>
          <t>결함분만 쓰면 턴수를 거의 그대로 되찾는다</t>
        </is>
      </c>
    </row>
    <row r="18">
      <c r="A18" t="n">
        <v>180</v>
      </c>
      <c r="B18" t="inlineStr">
        <is>
          <t>itsc_4turn_resistive</t>
        </is>
      </c>
      <c r="C18" t="n">
        <v>4</v>
      </c>
      <c r="D18" t="n">
        <v>1</v>
      </c>
      <c r="E18" t="n">
        <v>1</v>
      </c>
      <c r="F18" s="5" t="n">
        <v>0.02217</v>
      </c>
      <c r="G18" s="5" t="n">
        <v>0.006537098169586364</v>
      </c>
      <c r="H18" s="5" t="n">
        <v>3.999327718753286</v>
      </c>
      <c r="I18">
        <f>H18-C18</f>
        <v/>
      </c>
      <c r="J18" s="6">
        <f>IF(ABS(I18)&lt;=1,"PASS","FAIL")</f>
        <v/>
      </c>
      <c r="K18" t="inlineStr">
        <is>
          <t>ok</t>
        </is>
      </c>
      <c r="L18" s="5" t="n">
        <v>7.413399876865217</v>
      </c>
      <c r="M18">
        <f>L18-C18</f>
        <v/>
      </c>
      <c r="N18" t="inlineStr">
        <is>
          <t>결함분만 쓰면 턴수를 거의 그대로 되찾는다</t>
        </is>
      </c>
    </row>
    <row r="19">
      <c r="A19" t="n">
        <v>180</v>
      </c>
      <c r="B19" t="inlineStr">
        <is>
          <t>itsc_4turn_halfload</t>
        </is>
      </c>
      <c r="C19" t="n">
        <v>4</v>
      </c>
      <c r="D19" t="n">
        <v>0.1</v>
      </c>
      <c r="E19" t="n">
        <v>0.5</v>
      </c>
      <c r="F19" s="5" t="n">
        <v>0.05955</v>
      </c>
      <c r="G19" s="5" t="n">
        <v>0.07473039711600342</v>
      </c>
      <c r="H19" s="5" t="n">
        <v>4.00001157184088</v>
      </c>
      <c r="I19">
        <f>H19-C19</f>
        <v/>
      </c>
      <c r="J19" s="6">
        <f>IF(ABS(I19)&lt;=1,"PASS","FAIL")</f>
        <v/>
      </c>
      <c r="K19" t="inlineStr">
        <is>
          <t>ok</t>
        </is>
      </c>
      <c r="L19" s="5" t="n">
        <v>3.424393168399945</v>
      </c>
      <c r="M19">
        <f>L19-C19</f>
        <v/>
      </c>
      <c r="N19" t="inlineStr">
        <is>
          <t>결함분만 쓰면 턴수를 거의 그대로 되찾는다</t>
        </is>
      </c>
    </row>
    <row r="21">
      <c r="A21" t="inlineStr">
        <is>
          <t>규칙</t>
        </is>
      </c>
      <c r="B21" t="inlineStr">
        <is>
          <t>결함분 = |합성 페이저 − 0.027∠(시드 각도)|; LUT(턴 비율 축 0~16.7 %, 해당 R_f·부하 격자)의 단조 증가 구간에서 선형 역보간 → 턴 비율 × 192. 허용 ±1턴(격자 간격 2~8턴 사이는 보간). 합성값 역추정 오차는 허용 없이 기록만.</t>
        </is>
      </c>
    </row>
    <row r="23">
      <c r="A23" s="2" t="inlineStr">
        <is>
          <t>입력 파일 sha256(앞 16)</t>
        </is>
      </c>
      <c r="B23" t="inlineStr"/>
      <c r="C23" t="inlineStr"/>
      <c r="D23" t="inlineStr"/>
    </row>
    <row r="24">
      <c r="A24" t="inlineStr">
        <is>
          <t>analysis_reference</t>
        </is>
      </c>
      <c r="B24" t="inlineStr">
        <is>
          <t>motor_dt_viz/data/electrical/analysis_reference.json</t>
        </is>
      </c>
      <c r="C24" t="inlineStr">
        <is>
          <t>59765f4dbb91cf68</t>
        </is>
      </c>
    </row>
    <row r="25">
      <c r="A25" t="inlineStr">
        <is>
          <t>sim_vs_analysis</t>
        </is>
      </c>
      <c r="B25" t="inlineStr">
        <is>
          <t>docs/verification/sim_vs_analysis.json</t>
        </is>
      </c>
      <c r="C25" t="inlineStr">
        <is>
          <t>8f1af0be7fa49d74</t>
        </is>
      </c>
    </row>
    <row r="26">
      <c r="A26" t="inlineStr">
        <is>
          <t>lut</t>
        </is>
      </c>
      <c r="B26" t="inlineStr">
        <is>
          <t>motor_dt_viz/data/electrical/M1_mccm_lut_v2.json</t>
        </is>
      </c>
      <c r="C26" t="inlineStr">
        <is>
          <t>c6898c6e8d801f49</t>
        </is>
      </c>
    </row>
    <row r="27">
      <c r="A27" t="inlineStr">
        <is>
          <t>verification_summary</t>
        </is>
      </c>
      <c r="B27" t="inlineStr">
        <is>
          <t>docs/verification_summary.json</t>
        </is>
      </c>
      <c r="C27" t="inlineStr">
        <is>
          <t>b9adb4b8a2b4c7cc</t>
        </is>
      </c>
    </row>
    <row r="28">
      <c r="A28" t="inlineStr">
        <is>
          <t>thresholds</t>
        </is>
      </c>
      <c r="B28" t="inlineStr">
        <is>
          <t>motor_dt_viz/config/thresholds.yaml</t>
        </is>
      </c>
      <c r="C28" t="inlineStr">
        <is>
          <t>92a7e9fb6043903e</t>
        </is>
      </c>
    </row>
    <row r="29">
      <c r="A29" t="inlineStr">
        <is>
          <t>maxwell_mccm_results</t>
        </is>
      </c>
      <c r="B29" t="inlineStr">
        <is>
          <t>C:\Users\sunwu\OneDrive\바탕 화면\권상모터_3D모델링\maxwell/results/mccm_results.json</t>
        </is>
      </c>
      <c r="C29" t="inlineStr">
        <is>
          <t>4e2a832bd6c9c17f</t>
        </is>
      </c>
    </row>
    <row r="30">
      <c r="A30" t="inlineStr">
        <is>
          <t>maxwell_eddy_summary</t>
        </is>
      </c>
      <c r="B30" t="inlineStr">
        <is>
          <t>C:\Users\sunwu\OneDrive\바탕 화면\권상모터_3D모델링\maxwell/results/eddy2d/summary.json</t>
        </is>
      </c>
      <c r="C30" t="inlineStr">
        <is>
          <t>0fb986f232d14d4e</t>
        </is>
      </c>
    </row>
    <row r="31">
      <c r="A31" t="inlineStr">
        <is>
          <t>maxwell_f2</t>
        </is>
      </c>
      <c r="B31" t="inlineStr">
        <is>
          <t>C:\Users\sunwu\OneDrive\바탕 화면\권상모터_3D모델링\maxwell/results/f2_corrections.json</t>
        </is>
      </c>
      <c r="C31" t="inlineStr">
        <is>
          <t>5e21ad5b5d91fda9</t>
        </is>
      </c>
    </row>
    <row r="32">
      <c r="A32" t="inlineStr">
        <is>
          <t>maxwell_rmxprt</t>
        </is>
      </c>
      <c r="B32" t="inlineStr">
        <is>
          <t>C:\Users\sunwu\OneDrive\바탕 화면\권상모터_3D모델링\maxwell/results/rmxprt_v2m2.json</t>
        </is>
      </c>
      <c r="C32" t="inlineStr">
        <is>
          <t>07736423faa11165</t>
        </is>
      </c>
    </row>
    <row r="33">
      <c r="A33" t="inlineStr">
        <is>
          <t>maxwell_inductance</t>
        </is>
      </c>
      <c r="B33" t="inlineStr">
        <is>
          <t>C:\Users\sunwu\OneDrive\바탕 화면\권상모터_3D모델링\maxwell/results/inductance_matrix_2d.json</t>
        </is>
      </c>
      <c r="C33" t="inlineStr">
        <is>
          <t>a36126216cd3ec6c</t>
        </is>
      </c>
    </row>
    <row r="34">
      <c r="A34" t="inlineStr">
        <is>
          <t>state_a0</t>
        </is>
      </c>
      <c r="B34" t="inlineStr">
        <is>
          <t>motor_dt_viz/logs/verify/electrical_a0/state.csv</t>
        </is>
      </c>
      <c r="C34" t="inlineStr">
        <is>
          <t>0c7524ce74150076</t>
        </is>
      </c>
    </row>
    <row r="35">
      <c r="A35" t="inlineStr">
        <is>
          <t>state_a90</t>
        </is>
      </c>
      <c r="B35" t="inlineStr">
        <is>
          <t>motor_dt_viz/logs/verify/electrical_a90/state.csv</t>
        </is>
      </c>
      <c r="C35" t="inlineStr">
        <is>
          <t>8a73bc7b461565b9</t>
        </is>
      </c>
    </row>
    <row r="36">
      <c r="A36" t="inlineStr">
        <is>
          <t>state_a180</t>
        </is>
      </c>
      <c r="B36" t="inlineStr">
        <is>
          <t>motor_dt_viz/logs/verify/electrical_a180/state.csv</t>
        </is>
      </c>
      <c r="C36" t="inlineStr">
        <is>
          <t>be8476ed7628b493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4" customWidth="1" min="3" max="3"/>
    <col width="18" customWidth="1" min="4" max="4"/>
    <col width="2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60" customWidth="1" min="11" max="11"/>
  </cols>
  <sheetData>
    <row r="1">
      <c r="A1" s="3" t="inlineStr">
        <is>
          <t>시나리오</t>
        </is>
      </c>
      <c r="B1" s="3" t="inlineStr">
        <is>
          <t>턴</t>
        </is>
      </c>
      <c r="C1" s="3" t="inlineStr">
        <is>
          <t>LUT 결함분 I₂/I₁</t>
        </is>
      </c>
      <c r="D1" s="3" t="inlineStr">
        <is>
          <t>합성 I₂/I₁ (Z₂ 앵커 7.136 Ω)</t>
        </is>
      </c>
      <c r="E1" s="3" t="inlineStr">
        <is>
          <t>합성 I₂/I₁ (FEM 보정 5.97 Ω, I₂ ×1.20)</t>
        </is>
      </c>
      <c r="F1" s="3" t="inlineStr">
        <is>
          <t>I₂/I_n 앵커</t>
        </is>
      </c>
      <c r="G1" s="3" t="inlineStr">
        <is>
          <t>I₂/I_n FEM</t>
        </is>
      </c>
      <c r="H1" s="3" t="inlineStr">
        <is>
          <t>판정 앵커</t>
        </is>
      </c>
      <c r="I1" s="3" t="inlineStr">
        <is>
          <t>판정 FEM</t>
        </is>
      </c>
      <c r="J1" s="3" t="inlineStr">
        <is>
          <t>판정 변화</t>
        </is>
      </c>
      <c r="K1" s="3" t="inlineStr">
        <is>
          <t>쉬운 설명</t>
        </is>
      </c>
      <c r="M1" s="2" t="inlineStr">
        <is>
          <t>시뮬 합성 I₂/I₁</t>
        </is>
      </c>
    </row>
    <row r="2">
      <c r="A2" t="inlineStr">
        <is>
          <t>healthy</t>
        </is>
      </c>
      <c r="B2" t="n">
        <v>0</v>
      </c>
      <c r="C2" s="5" t="n">
        <v>0</v>
      </c>
      <c r="D2" s="5" t="n">
        <v>0.027</v>
      </c>
      <c r="E2" s="5" t="n">
        <v>0.027</v>
      </c>
      <c r="F2" s="5" t="n">
        <v>0</v>
      </c>
      <c r="G2" s="5" t="n">
        <v>0</v>
      </c>
      <c r="H2" t="inlineStr">
        <is>
          <t>SAFE</t>
        </is>
      </c>
      <c r="I2" t="inlineStr">
        <is>
          <t>SAFE</t>
        </is>
      </c>
      <c r="J2" s="6" t="inlineStr">
        <is>
          <t>불변</t>
        </is>
      </c>
      <c r="K2" t="inlineStr">
        <is>
          <t>FEM 역상 임피던스가 작으면 같은 결함에서 역상 전류가 20 % 더 크게 나온다 — 판정이 바뀌는지가 핵심</t>
        </is>
      </c>
      <c r="M2" s="5" t="n">
        <v>0.027</v>
      </c>
    </row>
    <row r="3">
      <c r="A3" t="inlineStr">
        <is>
          <t>itsc_4turn</t>
        </is>
      </c>
      <c r="B3" t="n">
        <v>4</v>
      </c>
      <c r="C3" s="5" t="n">
        <v>0.048815</v>
      </c>
      <c r="D3" s="5" t="n">
        <v>0.07247383755161793</v>
      </c>
      <c r="E3" s="5" t="n">
        <v>0.08203075989743096</v>
      </c>
      <c r="F3" s="5" t="n">
        <v>0.050428</v>
      </c>
      <c r="G3" s="5" t="n">
        <v>0.0605136</v>
      </c>
      <c r="H3" t="inlineStr">
        <is>
          <t>WARN</t>
        </is>
      </c>
      <c r="I3" t="inlineStr">
        <is>
          <t>WARN</t>
        </is>
      </c>
      <c r="J3" s="6" t="inlineStr">
        <is>
          <t>불변</t>
        </is>
      </c>
      <c r="K3" t="inlineStr">
        <is>
          <t>FEM 역상 임피던스가 작으면 같은 결함에서 역상 전류가 20 % 더 크게 나온다 — 판정이 바뀌는지가 핵심</t>
        </is>
      </c>
      <c r="M3" s="5" t="n">
        <v>0.07262</v>
      </c>
    </row>
    <row r="4">
      <c r="A4" t="inlineStr">
        <is>
          <t>itsc_8turn</t>
        </is>
      </c>
      <c r="B4" t="n">
        <v>8</v>
      </c>
      <c r="C4" s="5" t="n">
        <v>0.14425</v>
      </c>
      <c r="D4" s="5" t="n">
        <v>0.1677243356174824</v>
      </c>
      <c r="E4" s="5" t="n">
        <v>0.1964837863794136</v>
      </c>
      <c r="F4" s="5" t="n">
        <v>0.162467</v>
      </c>
      <c r="G4" s="5" t="n">
        <v>0.1949604</v>
      </c>
      <c r="H4" t="inlineStr">
        <is>
          <t>DANGER</t>
        </is>
      </c>
      <c r="I4" t="inlineStr">
        <is>
          <t>DANGER</t>
        </is>
      </c>
      <c r="J4" s="6" t="inlineStr">
        <is>
          <t>불변</t>
        </is>
      </c>
      <c r="K4" t="inlineStr">
        <is>
          <t>FEM 역상 임피던스가 작으면 같은 결함에서 역상 전류가 20 % 더 크게 나온다 — 판정이 바뀌는지가 핵심</t>
        </is>
      </c>
      <c r="M4" s="5" t="n">
        <v>0.16757</v>
      </c>
    </row>
    <row r="5">
      <c r="A5" t="inlineStr">
        <is>
          <t>itsc_12turn</t>
        </is>
      </c>
      <c r="B5" t="n">
        <v>12</v>
      </c>
      <c r="C5" s="5" t="n">
        <v>0.245513</v>
      </c>
      <c r="D5" s="5" t="n">
        <v>0.2695779313656917</v>
      </c>
      <c r="E5" s="5" t="n">
        <v>0.3186334967573979</v>
      </c>
      <c r="F5" s="5" t="n">
        <v>0.307449</v>
      </c>
      <c r="G5" s="5" t="n">
        <v>0.3689388</v>
      </c>
      <c r="H5" t="inlineStr">
        <is>
          <t>DANGER</t>
        </is>
      </c>
      <c r="I5" t="inlineStr">
        <is>
          <t>DANGER</t>
        </is>
      </c>
      <c r="J5" s="6" t="inlineStr">
        <is>
          <t>불변</t>
        </is>
      </c>
      <c r="K5" t="inlineStr">
        <is>
          <t>FEM 역상 임피던스가 작으면 같은 결함에서 역상 전류가 20 % 더 크게 나온다 — 판정이 바뀌는지가 핵심</t>
        </is>
      </c>
      <c r="M5" s="5" t="n">
        <v>0.26958</v>
      </c>
    </row>
    <row r="6">
      <c r="A6" t="inlineStr">
        <is>
          <t>itsc_16turn</t>
        </is>
      </c>
      <c r="B6" t="n">
        <v>16</v>
      </c>
      <c r="C6" s="5" t="n">
        <v>0.33774</v>
      </c>
      <c r="D6" s="5" t="n">
        <v>0.362416655375853</v>
      </c>
      <c r="E6" s="5" t="n">
        <v>0.4299367306204296</v>
      </c>
      <c r="F6" s="5" t="n">
        <v>0.473518</v>
      </c>
      <c r="G6" s="5" t="n">
        <v>0.5682216</v>
      </c>
      <c r="H6" t="inlineStr">
        <is>
          <t>DANGER</t>
        </is>
      </c>
      <c r="I6" t="inlineStr">
        <is>
          <t>DANGER</t>
        </is>
      </c>
      <c r="J6" s="6" t="inlineStr">
        <is>
          <t>불변</t>
        </is>
      </c>
      <c r="K6" t="inlineStr">
        <is>
          <t>FEM 역상 임피던스가 작으면 같은 결함에서 역상 전류가 20 % 더 크게 나온다 — 판정이 바뀌는지가 핵심</t>
        </is>
      </c>
      <c r="M6" s="5" t="n">
        <v>0.36253</v>
      </c>
    </row>
    <row r="7">
      <c r="A7" t="inlineStr">
        <is>
          <t>itsc_4turn_resistive</t>
        </is>
      </c>
      <c r="B7" t="n">
        <v>4</v>
      </c>
      <c r="C7" s="5" t="n">
        <v>0.006511</v>
      </c>
      <c r="D7" s="5" t="n">
        <v>0.03241307761625527</v>
      </c>
      <c r="E7" s="5" t="n">
        <v>0.03354256206238375</v>
      </c>
      <c r="F7" s="5" t="n">
        <v>0.006496</v>
      </c>
      <c r="G7" s="5" t="n">
        <v>0.0077952</v>
      </c>
      <c r="H7" t="inlineStr">
        <is>
          <t>SAFE</t>
        </is>
      </c>
      <c r="I7" t="inlineStr">
        <is>
          <t>SAFE</t>
        </is>
      </c>
      <c r="J7" s="6" t="inlineStr">
        <is>
          <t>불변</t>
        </is>
      </c>
      <c r="K7" t="inlineStr">
        <is>
          <t>FEM 역상 임피던스가 작으면 같은 결함에서 역상 전류가 20 % 더 크게 나온다 — 판정이 바뀌는지가 핵심</t>
        </is>
      </c>
      <c r="M7" s="5" t="n">
        <v>0.03244</v>
      </c>
    </row>
    <row r="8">
      <c r="A8" t="inlineStr">
        <is>
          <t>itsc_4turn_halfload</t>
        </is>
      </c>
      <c r="B8" t="n">
        <v>4</v>
      </c>
      <c r="C8" s="5" t="n">
        <v>0.074507</v>
      </c>
      <c r="D8" s="5" t="n">
        <v>0.09507600224645416</v>
      </c>
      <c r="E8" s="5" t="n">
        <v>0.109698886847412</v>
      </c>
      <c r="F8" s="5" t="n">
        <v>0.050428</v>
      </c>
      <c r="G8" s="5" t="n">
        <v>0.0605136</v>
      </c>
      <c r="H8" t="inlineStr">
        <is>
          <t>WARN</t>
        </is>
      </c>
      <c r="I8" t="inlineStr">
        <is>
          <t>DANGER</t>
        </is>
      </c>
      <c r="J8" s="11" t="inlineStr">
        <is>
          <t>변화</t>
        </is>
      </c>
      <c r="K8" t="inlineStr">
        <is>
          <t>FEM 역상 임피던스가 작으면 같은 결함에서 역상 전류가 20 % 더 크게 나온다 — 판정이 바뀌는지가 핵심</t>
        </is>
      </c>
      <c r="M8" s="5" t="n">
        <v>0.09529</v>
      </c>
    </row>
    <row r="10">
      <c r="A10" t="inlineStr">
        <is>
          <t>근거</t>
        </is>
      </c>
      <c r="B10" t="inlineStr">
        <is>
          <t>f7_iec_tolerance.json Z2_uncertainty: I₂ ∝ 1/Z₂, 앵커 7.136 Ω vs FEM 보정 5.97 Ω (-16.4 %) → I₂ +20 %. LUT 선형 스케일(새 해석 아님). 임계값 0.05/0.10 불변.</t>
        </is>
      </c>
    </row>
    <row r="11">
      <c r="A11" t="inlineStr">
        <is>
          <t>단락 턴 누설</t>
        </is>
      </c>
      <c r="B11" t="inlineStr">
        <is>
          <t>FEM 9.5 mΩ vs MCCM 가정 — 2D lite 파라미터로 재계산한 LUT v3 와 7 케이스 변화 &lt; 0.6 % (160점 최대 3.7 %) → v2 유지 (electrical.yaml lut_note 인용)</t>
        </is>
      </c>
    </row>
    <row r="13">
      <c r="A13" s="2" t="inlineStr">
        <is>
          <t>입력 파일 sha256(앞 16)</t>
        </is>
      </c>
      <c r="B13" t="inlineStr"/>
      <c r="C13" t="inlineStr"/>
      <c r="D13" t="inlineStr"/>
    </row>
    <row r="14">
      <c r="A14" t="inlineStr">
        <is>
          <t>analysis_reference</t>
        </is>
      </c>
      <c r="B14" t="inlineStr">
        <is>
          <t>motor_dt_viz/data/electrical/analysis_reference.json</t>
        </is>
      </c>
      <c r="C14" t="inlineStr">
        <is>
          <t>59765f4dbb91cf68</t>
        </is>
      </c>
    </row>
    <row r="15">
      <c r="A15" t="inlineStr">
        <is>
          <t>sim_vs_analysis</t>
        </is>
      </c>
      <c r="B15" t="inlineStr">
        <is>
          <t>docs/verification/sim_vs_analysis.json</t>
        </is>
      </c>
      <c r="C15" t="inlineStr">
        <is>
          <t>8f1af0be7fa49d74</t>
        </is>
      </c>
    </row>
    <row r="16">
      <c r="A16" t="inlineStr">
        <is>
          <t>lut</t>
        </is>
      </c>
      <c r="B16" t="inlineStr">
        <is>
          <t>motor_dt_viz/data/electrical/M1_mccm_lut_v2.json</t>
        </is>
      </c>
      <c r="C16" t="inlineStr">
        <is>
          <t>c6898c6e8d801f49</t>
        </is>
      </c>
    </row>
    <row r="17">
      <c r="A17" t="inlineStr">
        <is>
          <t>verification_summary</t>
        </is>
      </c>
      <c r="B17" t="inlineStr">
        <is>
          <t>docs/verification_summary.json</t>
        </is>
      </c>
      <c r="C17" t="inlineStr">
        <is>
          <t>b9adb4b8a2b4c7cc</t>
        </is>
      </c>
    </row>
    <row r="18">
      <c r="A18" t="inlineStr">
        <is>
          <t>thresholds</t>
        </is>
      </c>
      <c r="B18" t="inlineStr">
        <is>
          <t>motor_dt_viz/config/thresholds.yaml</t>
        </is>
      </c>
      <c r="C18" t="inlineStr">
        <is>
          <t>92a7e9fb6043903e</t>
        </is>
      </c>
    </row>
    <row r="19">
      <c r="A19" t="inlineStr">
        <is>
          <t>maxwell_mccm_results</t>
        </is>
      </c>
      <c r="B19" t="inlineStr">
        <is>
          <t>C:\Users\sunwu\OneDrive\바탕 화면\권상모터_3D모델링\maxwell/results/mccm_results.json</t>
        </is>
      </c>
      <c r="C19" t="inlineStr">
        <is>
          <t>4e2a832bd6c9c17f</t>
        </is>
      </c>
    </row>
    <row r="20">
      <c r="A20" t="inlineStr">
        <is>
          <t>maxwell_eddy_summary</t>
        </is>
      </c>
      <c r="B20" t="inlineStr">
        <is>
          <t>C:\Users\sunwu\OneDrive\바탕 화면\권상모터_3D모델링\maxwell/results/eddy2d/summary.json</t>
        </is>
      </c>
      <c r="C20" t="inlineStr">
        <is>
          <t>0fb986f232d14d4e</t>
        </is>
      </c>
    </row>
    <row r="21">
      <c r="A21" t="inlineStr">
        <is>
          <t>maxwell_f2</t>
        </is>
      </c>
      <c r="B21" t="inlineStr">
        <is>
          <t>C:\Users\sunwu\OneDrive\바탕 화면\권상모터_3D모델링\maxwell/results/f2_corrections.json</t>
        </is>
      </c>
      <c r="C21" t="inlineStr">
        <is>
          <t>5e21ad5b5d91fda9</t>
        </is>
      </c>
    </row>
    <row r="22">
      <c r="A22" t="inlineStr">
        <is>
          <t>maxwell_rmxprt</t>
        </is>
      </c>
      <c r="B22" t="inlineStr">
        <is>
          <t>C:\Users\sunwu\OneDrive\바탕 화면\권상모터_3D모델링\maxwell/results/rmxprt_v2m2.json</t>
        </is>
      </c>
      <c r="C22" t="inlineStr">
        <is>
          <t>07736423faa11165</t>
        </is>
      </c>
    </row>
    <row r="23">
      <c r="A23" t="inlineStr">
        <is>
          <t>maxwell_inductance</t>
        </is>
      </c>
      <c r="B23" t="inlineStr">
        <is>
          <t>C:\Users\sunwu\OneDrive\바탕 화면\권상모터_3D모델링\maxwell/results/inductance_matrix_2d.json</t>
        </is>
      </c>
      <c r="C23" t="inlineStr">
        <is>
          <t>a36126216cd3ec6c</t>
        </is>
      </c>
    </row>
    <row r="24">
      <c r="A24" t="inlineStr">
        <is>
          <t>state_a0</t>
        </is>
      </c>
      <c r="B24" t="inlineStr">
        <is>
          <t>motor_dt_viz/logs/verify/electrical_a0/state.csv</t>
        </is>
      </c>
      <c r="C24" t="inlineStr">
        <is>
          <t>0c7524ce74150076</t>
        </is>
      </c>
    </row>
    <row r="25">
      <c r="A25" t="inlineStr">
        <is>
          <t>state_a90</t>
        </is>
      </c>
      <c r="B25" t="inlineStr">
        <is>
          <t>motor_dt_viz/logs/verify/electrical_a90/state.csv</t>
        </is>
      </c>
      <c r="C25" t="inlineStr">
        <is>
          <t>8a73bc7b461565b9</t>
        </is>
      </c>
    </row>
    <row r="26">
      <c r="A26" t="inlineStr">
        <is>
          <t>state_a180</t>
        </is>
      </c>
      <c r="B26" t="inlineStr">
        <is>
          <t>motor_dt_viz/logs/verify/electrical_a180/state.csv</t>
        </is>
      </c>
      <c r="C26" t="inlineStr">
        <is>
          <t>be8476ed7628b493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4" customWidth="1" min="12" max="12"/>
  </cols>
  <sheetData>
    <row r="1">
      <c r="A1" s="3" t="inlineStr">
        <is>
          <t>각도 [°]</t>
        </is>
      </c>
      <c r="B1" s="3" t="inlineStr">
        <is>
          <t>시나리오</t>
        </is>
      </c>
      <c r="C1" s="3" t="inlineStr">
        <is>
          <t>주입 시각 [s]</t>
        </is>
      </c>
      <c r="D1" s="3" t="inlineStr">
        <is>
          <t>I₂/I₁ ≥ 0.05 [s 후]</t>
        </is>
      </c>
      <c r="E1" s="3" t="inlineStr">
        <is>
          <t>I₂/I₁ ≥ 0.10 [s 후]</t>
        </is>
      </c>
      <c r="F1" s="3" t="inlineStr">
        <is>
          <t>WARN 확정 (3 s 규칙)</t>
        </is>
      </c>
      <c r="G1" s="3" t="inlineStr">
        <is>
          <t>DANGER 확정</t>
        </is>
      </c>
      <c r="H1" s="3" t="inlineStr">
        <is>
          <t>결함상 r &gt; 1.10</t>
        </is>
      </c>
      <c r="I1" s="3" t="inlineStr">
        <is>
          <t>결함상 r &gt; 1.25</t>
        </is>
      </c>
      <c r="J1" s="3" t="inlineStr">
        <is>
          <t>종합 비SAFE 시각</t>
        </is>
      </c>
      <c r="K1" s="3" t="inlineStr">
        <is>
          <t>장면 끝 판정</t>
        </is>
      </c>
      <c r="L1" s="3" t="inlineStr">
        <is>
          <t>원인</t>
        </is>
      </c>
    </row>
    <row r="2">
      <c r="A2" t="n">
        <v>0</v>
      </c>
      <c r="B2" t="inlineStr">
        <is>
          <t>healthy</t>
        </is>
      </c>
      <c r="C2" t="n">
        <v>0</v>
      </c>
      <c r="K2" t="inlineStr">
        <is>
          <t>SAFE</t>
        </is>
      </c>
      <c r="L2" t="inlineStr">
        <is>
          <t>-</t>
        </is>
      </c>
    </row>
    <row r="3">
      <c r="A3" t="n">
        <v>0</v>
      </c>
      <c r="B3" t="inlineStr">
        <is>
          <t>itsc_4turn</t>
        </is>
      </c>
      <c r="C3" t="n">
        <v>20</v>
      </c>
      <c r="D3" t="n">
        <v>-0.02799999999999869</v>
      </c>
      <c r="F3" t="n">
        <v>2.981999999999999</v>
      </c>
      <c r="H3" t="n">
        <v>-0.02799999999999869</v>
      </c>
      <c r="J3" t="n">
        <v>2.981999999999999</v>
      </c>
      <c r="K3" t="inlineStr">
        <is>
          <t>WARN</t>
        </is>
      </c>
      <c r="L3" t="inlineStr">
        <is>
          <t>i2i1</t>
        </is>
      </c>
    </row>
    <row r="4">
      <c r="A4" t="n">
        <v>0</v>
      </c>
      <c r="B4" t="inlineStr">
        <is>
          <t>itsc_8turn</t>
        </is>
      </c>
      <c r="C4" t="n">
        <v>165</v>
      </c>
      <c r="D4" t="n">
        <v>-0.02699999999998681</v>
      </c>
      <c r="E4" t="n">
        <v>-0.02699999999998681</v>
      </c>
      <c r="G4" t="n">
        <v>3.006</v>
      </c>
      <c r="H4" t="n">
        <v>-0.02699999999998681</v>
      </c>
      <c r="I4" t="n">
        <v>-0.02699999999998681</v>
      </c>
      <c r="J4" t="n">
        <v>2.945999999999998</v>
      </c>
      <c r="K4" t="inlineStr">
        <is>
          <t>DANGER</t>
        </is>
      </c>
      <c r="L4" t="inlineStr">
        <is>
          <t>i2i1</t>
        </is>
      </c>
    </row>
    <row r="5">
      <c r="A5" t="n">
        <v>0</v>
      </c>
      <c r="B5" t="inlineStr">
        <is>
          <t>itsc_12turn</t>
        </is>
      </c>
      <c r="C5" t="n">
        <v>45</v>
      </c>
      <c r="D5" t="n">
        <v>-0.0140000000000029</v>
      </c>
      <c r="E5" t="n">
        <v>-0.0140000000000029</v>
      </c>
      <c r="F5" t="n">
        <v>-0.0140000000000029</v>
      </c>
      <c r="G5" t="n">
        <v>3.029000000000003</v>
      </c>
      <c r="H5" t="n">
        <v>-0.0140000000000029</v>
      </c>
      <c r="I5" t="n">
        <v>-0.0140000000000029</v>
      </c>
      <c r="J5" t="n">
        <v>-0.0140000000000029</v>
      </c>
      <c r="K5" t="inlineStr">
        <is>
          <t>DANGER</t>
        </is>
      </c>
      <c r="L5" t="inlineStr">
        <is>
          <t>i2i1</t>
        </is>
      </c>
    </row>
    <row r="6">
      <c r="A6" t="n">
        <v>0</v>
      </c>
      <c r="B6" t="inlineStr">
        <is>
          <t>itsc_16turn</t>
        </is>
      </c>
      <c r="C6" t="n">
        <v>185</v>
      </c>
      <c r="D6" t="n">
        <v>-0.05500000000000682</v>
      </c>
      <c r="E6" t="n">
        <v>-0.05500000000000682</v>
      </c>
      <c r="G6" t="n">
        <v>-0.05500000000000682</v>
      </c>
      <c r="H6" t="n">
        <v>-0.05500000000000682</v>
      </c>
      <c r="I6" t="n">
        <v>-0.05500000000000682</v>
      </c>
      <c r="J6" t="n">
        <v>-0.05500000000000682</v>
      </c>
      <c r="K6" t="inlineStr">
        <is>
          <t>DANGER</t>
        </is>
      </c>
      <c r="L6" t="inlineStr">
        <is>
          <t>i2i1</t>
        </is>
      </c>
    </row>
    <row r="7">
      <c r="A7" t="n">
        <v>0</v>
      </c>
      <c r="B7" t="inlineStr">
        <is>
          <t>itsc_4turn_resistive</t>
        </is>
      </c>
      <c r="C7" t="n">
        <v>205</v>
      </c>
      <c r="K7" t="inlineStr">
        <is>
          <t>SAFE</t>
        </is>
      </c>
      <c r="L7" t="inlineStr">
        <is>
          <t>-</t>
        </is>
      </c>
    </row>
    <row r="8">
      <c r="A8" t="n">
        <v>0</v>
      </c>
      <c r="B8" t="inlineStr">
        <is>
          <t>itsc_4turn_halfload</t>
        </is>
      </c>
      <c r="C8" t="n">
        <v>225</v>
      </c>
      <c r="D8" t="n">
        <v>-0.01499999999998636</v>
      </c>
      <c r="F8" t="n">
        <v>3.018000000000001</v>
      </c>
      <c r="J8" t="n">
        <v>3.018000000000001</v>
      </c>
      <c r="K8" t="inlineStr">
        <is>
          <t>WARN</t>
        </is>
      </c>
      <c r="L8" t="inlineStr">
        <is>
          <t>i2i1</t>
        </is>
      </c>
    </row>
    <row r="9">
      <c r="A9" t="n">
        <v>90</v>
      </c>
      <c r="B9" t="inlineStr">
        <is>
          <t>healthy</t>
        </is>
      </c>
      <c r="C9" t="n">
        <v>0</v>
      </c>
      <c r="K9" t="inlineStr">
        <is>
          <t>SAFE</t>
        </is>
      </c>
      <c r="L9" t="inlineStr">
        <is>
          <t>-</t>
        </is>
      </c>
    </row>
    <row r="10">
      <c r="A10" t="n">
        <v>90</v>
      </c>
      <c r="B10" t="inlineStr">
        <is>
          <t>itsc_4turn</t>
        </is>
      </c>
      <c r="C10" t="n">
        <v>20</v>
      </c>
      <c r="D10" t="n">
        <v>-0.08299999999999841</v>
      </c>
      <c r="F10" t="n">
        <v>2.972000000000001</v>
      </c>
      <c r="J10" t="n">
        <v>2.972000000000001</v>
      </c>
      <c r="K10" t="inlineStr">
        <is>
          <t>WARN</t>
        </is>
      </c>
      <c r="L10" t="inlineStr">
        <is>
          <t>i2i1</t>
        </is>
      </c>
    </row>
    <row r="11">
      <c r="A11" t="n">
        <v>90</v>
      </c>
      <c r="B11" t="inlineStr">
        <is>
          <t>itsc_8turn</t>
        </is>
      </c>
      <c r="C11" t="n">
        <v>165</v>
      </c>
      <c r="D11" t="n">
        <v>-0.08500000000000796</v>
      </c>
      <c r="E11" t="n">
        <v>-0.08500000000000796</v>
      </c>
      <c r="G11" t="n">
        <v>2.938999999999993</v>
      </c>
      <c r="H11" t="n">
        <v>-0.08500000000000796</v>
      </c>
      <c r="I11" t="n">
        <v>-0.08500000000000796</v>
      </c>
      <c r="J11" t="n">
        <v>2.885999999999996</v>
      </c>
      <c r="K11" t="inlineStr">
        <is>
          <t>DANGER</t>
        </is>
      </c>
      <c r="L11" t="inlineStr">
        <is>
          <t>i2i1</t>
        </is>
      </c>
    </row>
    <row r="12">
      <c r="A12" t="n">
        <v>90</v>
      </c>
      <c r="B12" t="inlineStr">
        <is>
          <t>itsc_12turn</t>
        </is>
      </c>
      <c r="C12" t="n">
        <v>45</v>
      </c>
      <c r="D12" t="n">
        <v>-0.07999999999999829</v>
      </c>
      <c r="E12" t="n">
        <v>-0.07999999999999829</v>
      </c>
      <c r="F12" t="n">
        <v>-0.07999999999999829</v>
      </c>
      <c r="G12" t="n">
        <v>2.942</v>
      </c>
      <c r="H12" t="n">
        <v>-0.07999999999999829</v>
      </c>
      <c r="I12" t="n">
        <v>-0.07999999999999829</v>
      </c>
      <c r="J12" t="n">
        <v>-0.07999999999999829</v>
      </c>
      <c r="K12" t="inlineStr">
        <is>
          <t>DANGER</t>
        </is>
      </c>
      <c r="L12" t="inlineStr">
        <is>
          <t>i2i1</t>
        </is>
      </c>
    </row>
    <row r="13">
      <c r="A13" t="n">
        <v>90</v>
      </c>
      <c r="B13" t="inlineStr">
        <is>
          <t>itsc_16turn</t>
        </is>
      </c>
      <c r="C13" t="n">
        <v>185</v>
      </c>
      <c r="D13" t="n">
        <v>-0.06299999999998818</v>
      </c>
      <c r="E13" t="n">
        <v>-0.06299999999998818</v>
      </c>
      <c r="G13" t="n">
        <v>-0.06299999999998818</v>
      </c>
      <c r="H13" t="n">
        <v>-0.06299999999998818</v>
      </c>
      <c r="I13" t="n">
        <v>-0.06299999999998818</v>
      </c>
      <c r="J13" t="n">
        <v>-0.06299999999998818</v>
      </c>
      <c r="K13" t="inlineStr">
        <is>
          <t>DANGER</t>
        </is>
      </c>
      <c r="L13" t="inlineStr">
        <is>
          <t>i2i1</t>
        </is>
      </c>
    </row>
    <row r="14">
      <c r="A14" t="n">
        <v>90</v>
      </c>
      <c r="B14" t="inlineStr">
        <is>
          <t>itsc_4turn_resistive</t>
        </is>
      </c>
      <c r="C14" t="n">
        <v>205</v>
      </c>
      <c r="K14" t="inlineStr">
        <is>
          <t>SAFE</t>
        </is>
      </c>
      <c r="L14" t="inlineStr">
        <is>
          <t>-</t>
        </is>
      </c>
    </row>
    <row r="15">
      <c r="A15" t="n">
        <v>90</v>
      </c>
      <c r="B15" t="inlineStr">
        <is>
          <t>itsc_4turn_halfload</t>
        </is>
      </c>
      <c r="C15" t="n">
        <v>225</v>
      </c>
      <c r="D15" t="n">
        <v>-0.0589999999999975</v>
      </c>
      <c r="F15" t="n">
        <v>2.974999999999994</v>
      </c>
      <c r="J15" t="n">
        <v>2.974999999999994</v>
      </c>
      <c r="K15" t="inlineStr">
        <is>
          <t>WARN</t>
        </is>
      </c>
      <c r="L15" t="inlineStr">
        <is>
          <t>i2i1</t>
        </is>
      </c>
    </row>
    <row r="16">
      <c r="A16" t="n">
        <v>180</v>
      </c>
      <c r="B16" t="inlineStr">
        <is>
          <t>healthy</t>
        </is>
      </c>
      <c r="C16" t="n">
        <v>0</v>
      </c>
      <c r="K16" t="inlineStr">
        <is>
          <t>SAFE</t>
        </is>
      </c>
      <c r="L16" t="inlineStr">
        <is>
          <t>-</t>
        </is>
      </c>
    </row>
    <row r="17">
      <c r="A17" t="n">
        <v>180</v>
      </c>
      <c r="B17" t="inlineStr">
        <is>
          <t>itsc_4turn</t>
        </is>
      </c>
      <c r="C17" t="n">
        <v>20</v>
      </c>
      <c r="K17" t="inlineStr">
        <is>
          <t>SAFE</t>
        </is>
      </c>
      <c r="L17" t="inlineStr">
        <is>
          <t>-</t>
        </is>
      </c>
    </row>
    <row r="18">
      <c r="A18" t="n">
        <v>180</v>
      </c>
      <c r="B18" t="inlineStr">
        <is>
          <t>itsc_8turn</t>
        </is>
      </c>
      <c r="C18" t="n">
        <v>165</v>
      </c>
      <c r="D18" t="n">
        <v>-0.06399999999999295</v>
      </c>
      <c r="E18" t="n">
        <v>-0.06399999999999295</v>
      </c>
      <c r="G18" t="n">
        <v>2.98599999999999</v>
      </c>
      <c r="H18" t="n">
        <v>-0.06399999999999295</v>
      </c>
      <c r="J18" t="n">
        <v>2.98599999999999</v>
      </c>
      <c r="K18" t="inlineStr">
        <is>
          <t>DANGER</t>
        </is>
      </c>
      <c r="L18" t="inlineStr">
        <is>
          <t>i2i1</t>
        </is>
      </c>
    </row>
    <row r="19">
      <c r="A19" t="n">
        <v>180</v>
      </c>
      <c r="B19" t="inlineStr">
        <is>
          <t>itsc_12turn</t>
        </is>
      </c>
      <c r="C19" t="n">
        <v>45</v>
      </c>
      <c r="D19" t="n">
        <v>-0.06300000000000239</v>
      </c>
      <c r="E19" t="n">
        <v>-0.06300000000000239</v>
      </c>
      <c r="G19" t="n">
        <v>2.939999999999998</v>
      </c>
      <c r="H19" t="n">
        <v>-0.06300000000000239</v>
      </c>
      <c r="I19" t="n">
        <v>-0.06300000000000239</v>
      </c>
      <c r="J19" t="n">
        <v>2.939999999999998</v>
      </c>
      <c r="K19" t="inlineStr">
        <is>
          <t>DANGER</t>
        </is>
      </c>
      <c r="L19" t="inlineStr">
        <is>
          <t>i2i1</t>
        </is>
      </c>
    </row>
    <row r="20">
      <c r="A20" t="n">
        <v>180</v>
      </c>
      <c r="B20" t="inlineStr">
        <is>
          <t>itsc_16turn</t>
        </is>
      </c>
      <c r="C20" t="n">
        <v>185</v>
      </c>
      <c r="D20" t="n">
        <v>-0.02400000000000091</v>
      </c>
      <c r="E20" t="n">
        <v>-0.02400000000000091</v>
      </c>
      <c r="G20" t="n">
        <v>-0.02400000000000091</v>
      </c>
      <c r="H20" t="n">
        <v>-0.02400000000000091</v>
      </c>
      <c r="I20" t="n">
        <v>-0.02400000000000091</v>
      </c>
      <c r="J20" t="n">
        <v>-0.02400000000000091</v>
      </c>
      <c r="K20" t="inlineStr">
        <is>
          <t>DANGER</t>
        </is>
      </c>
      <c r="L20" t="inlineStr">
        <is>
          <t>i2i1</t>
        </is>
      </c>
    </row>
    <row r="21">
      <c r="A21" t="n">
        <v>180</v>
      </c>
      <c r="B21" t="inlineStr">
        <is>
          <t>itsc_4turn_resistive</t>
        </is>
      </c>
      <c r="C21" t="n">
        <v>205</v>
      </c>
      <c r="K21" t="inlineStr">
        <is>
          <t>SAFE</t>
        </is>
      </c>
      <c r="L21" t="inlineStr">
        <is>
          <t>-</t>
        </is>
      </c>
    </row>
    <row r="22">
      <c r="A22" t="n">
        <v>180</v>
      </c>
      <c r="B22" t="inlineStr">
        <is>
          <t>itsc_4turn_halfload</t>
        </is>
      </c>
      <c r="C22" t="n">
        <v>225</v>
      </c>
      <c r="D22" t="n">
        <v>-0.04099999999999682</v>
      </c>
      <c r="F22" t="n">
        <v>2.994</v>
      </c>
      <c r="J22" t="n">
        <v>2.994</v>
      </c>
      <c r="K22" t="inlineStr">
        <is>
          <t>WARN</t>
        </is>
      </c>
      <c r="L22" t="inlineStr">
        <is>
          <t>current_ratio</t>
        </is>
      </c>
    </row>
    <row r="24">
      <c r="A24" t="inlineStr">
        <is>
          <t>각주</t>
        </is>
      </c>
      <c r="B24" t="inlineStr">
        <is>
          <t>합성 신호라 전류 과도가 없다 — 임계 초과는 주입 즉시(0.0 s), 확정은 지속 3 s 규칙만. 이전 장면에서 이미 DANGER 였으면 '확정' 시각이 0 으로 나온다(16턴·반부하 뒤 장면).</t>
        </is>
      </c>
    </row>
    <row r="26">
      <c r="A26" s="2" t="inlineStr">
        <is>
          <t>입력 파일 sha256(앞 16)</t>
        </is>
      </c>
      <c r="B26" t="inlineStr"/>
      <c r="C26" t="inlineStr"/>
      <c r="D26" t="inlineStr"/>
    </row>
    <row r="27">
      <c r="A27" t="inlineStr">
        <is>
          <t>analysis_reference</t>
        </is>
      </c>
      <c r="B27" t="inlineStr">
        <is>
          <t>motor_dt_viz/data/electrical/analysis_reference.json</t>
        </is>
      </c>
      <c r="C27" t="inlineStr">
        <is>
          <t>59765f4dbb91cf68</t>
        </is>
      </c>
    </row>
    <row r="28">
      <c r="A28" t="inlineStr">
        <is>
          <t>sim_vs_analysis</t>
        </is>
      </c>
      <c r="B28" t="inlineStr">
        <is>
          <t>docs/verification/sim_vs_analysis.json</t>
        </is>
      </c>
      <c r="C28" t="inlineStr">
        <is>
          <t>8f1af0be7fa49d74</t>
        </is>
      </c>
    </row>
    <row r="29">
      <c r="A29" t="inlineStr">
        <is>
          <t>lut</t>
        </is>
      </c>
      <c r="B29" t="inlineStr">
        <is>
          <t>motor_dt_viz/data/electrical/M1_mccm_lut_v2.json</t>
        </is>
      </c>
      <c r="C29" t="inlineStr">
        <is>
          <t>c6898c6e8d801f49</t>
        </is>
      </c>
    </row>
    <row r="30">
      <c r="A30" t="inlineStr">
        <is>
          <t>verification_summary</t>
        </is>
      </c>
      <c r="B30" t="inlineStr">
        <is>
          <t>docs/verification_summary.json</t>
        </is>
      </c>
      <c r="C30" t="inlineStr">
        <is>
          <t>b9adb4b8a2b4c7cc</t>
        </is>
      </c>
    </row>
    <row r="31">
      <c r="A31" t="inlineStr">
        <is>
          <t>thresholds</t>
        </is>
      </c>
      <c r="B31" t="inlineStr">
        <is>
          <t>motor_dt_viz/config/thresholds.yaml</t>
        </is>
      </c>
      <c r="C31" t="inlineStr">
        <is>
          <t>92a7e9fb6043903e</t>
        </is>
      </c>
    </row>
    <row r="32">
      <c r="A32" t="inlineStr">
        <is>
          <t>maxwell_mccm_results</t>
        </is>
      </c>
      <c r="B32" t="inlineStr">
        <is>
          <t>C:\Users\sunwu\OneDrive\바탕 화면\권상모터_3D모델링\maxwell/results/mccm_results.json</t>
        </is>
      </c>
      <c r="C32" t="inlineStr">
        <is>
          <t>4e2a832bd6c9c17f</t>
        </is>
      </c>
    </row>
    <row r="33">
      <c r="A33" t="inlineStr">
        <is>
          <t>maxwell_eddy_summary</t>
        </is>
      </c>
      <c r="B33" t="inlineStr">
        <is>
          <t>C:\Users\sunwu\OneDrive\바탕 화면\권상모터_3D모델링\maxwell/results/eddy2d/summary.json</t>
        </is>
      </c>
      <c r="C33" t="inlineStr">
        <is>
          <t>0fb986f232d14d4e</t>
        </is>
      </c>
    </row>
    <row r="34">
      <c r="A34" t="inlineStr">
        <is>
          <t>maxwell_f2</t>
        </is>
      </c>
      <c r="B34" t="inlineStr">
        <is>
          <t>C:\Users\sunwu\OneDrive\바탕 화면\권상모터_3D모델링\maxwell/results/f2_corrections.json</t>
        </is>
      </c>
      <c r="C34" t="inlineStr">
        <is>
          <t>5e21ad5b5d91fda9</t>
        </is>
      </c>
    </row>
    <row r="35">
      <c r="A35" t="inlineStr">
        <is>
          <t>maxwell_rmxprt</t>
        </is>
      </c>
      <c r="B35" t="inlineStr">
        <is>
          <t>C:\Users\sunwu\OneDrive\바탕 화면\권상모터_3D모델링\maxwell/results/rmxprt_v2m2.json</t>
        </is>
      </c>
      <c r="C35" t="inlineStr">
        <is>
          <t>07736423faa11165</t>
        </is>
      </c>
    </row>
    <row r="36">
      <c r="A36" t="inlineStr">
        <is>
          <t>maxwell_inductance</t>
        </is>
      </c>
      <c r="B36" t="inlineStr">
        <is>
          <t>C:\Users\sunwu\OneDrive\바탕 화면\권상모터_3D모델링\maxwell/results/inductance_matrix_2d.json</t>
        </is>
      </c>
      <c r="C36" t="inlineStr">
        <is>
          <t>a36126216cd3ec6c</t>
        </is>
      </c>
    </row>
    <row r="37">
      <c r="A37" t="inlineStr">
        <is>
          <t>state_a0</t>
        </is>
      </c>
      <c r="B37" t="inlineStr">
        <is>
          <t>motor_dt_viz/logs/verify/electrical_a0/state.csv</t>
        </is>
      </c>
      <c r="C37" t="inlineStr">
        <is>
          <t>0c7524ce74150076</t>
        </is>
      </c>
    </row>
    <row r="38">
      <c r="A38" t="inlineStr">
        <is>
          <t>state_a90</t>
        </is>
      </c>
      <c r="B38" t="inlineStr">
        <is>
          <t>motor_dt_viz/logs/verify/electrical_a90/state.csv</t>
        </is>
      </c>
      <c r="C38" t="inlineStr">
        <is>
          <t>8a73bc7b461565b9</t>
        </is>
      </c>
    </row>
    <row r="39">
      <c r="A39" t="inlineStr">
        <is>
          <t>state_a180</t>
        </is>
      </c>
      <c r="B39" t="inlineStr">
        <is>
          <t>motor_dt_viz/logs/verify/electrical_a180/state.csv</t>
        </is>
      </c>
      <c r="C39" t="inlineStr">
        <is>
          <t>be8476ed7628b493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t_real_s</t>
        </is>
      </c>
      <c r="B1" t="inlineStr">
        <is>
          <t>I2/I1 (4턴 장면)</t>
        </is>
      </c>
      <c r="C1" t="inlineStr">
        <is>
          <t>I2/I1 (12턴 장면)</t>
        </is>
      </c>
      <c r="D1" t="inlineStr">
        <is>
          <t>경고 0.05</t>
        </is>
      </c>
      <c r="E1" t="inlineStr">
        <is>
          <t>위험 0.10</t>
        </is>
      </c>
    </row>
    <row r="2">
      <c r="A2" t="n">
        <v>-20</v>
      </c>
      <c r="B2" t="n">
        <v>0.027</v>
      </c>
      <c r="D2" t="n">
        <v>0.05</v>
      </c>
      <c r="E2" t="n">
        <v>0.1</v>
      </c>
    </row>
    <row r="3">
      <c r="A3" t="n">
        <v>-19.84</v>
      </c>
      <c r="B3" t="n">
        <v>0.027</v>
      </c>
      <c r="D3" t="n">
        <v>0.05</v>
      </c>
      <c r="E3" t="n">
        <v>0.1</v>
      </c>
    </row>
    <row r="4">
      <c r="A4" t="n">
        <v>-19.73</v>
      </c>
      <c r="B4" t="n">
        <v>0.027</v>
      </c>
      <c r="D4" t="n">
        <v>0.05</v>
      </c>
      <c r="E4" t="n">
        <v>0.1</v>
      </c>
    </row>
    <row r="5">
      <c r="A5" t="n">
        <v>-19.61</v>
      </c>
      <c r="B5" t="n">
        <v>0.027</v>
      </c>
      <c r="D5" t="n">
        <v>0.05</v>
      </c>
      <c r="E5" t="n">
        <v>0.1</v>
      </c>
    </row>
    <row r="6">
      <c r="A6" t="n">
        <v>-19.49</v>
      </c>
      <c r="B6" t="n">
        <v>0.027</v>
      </c>
      <c r="D6" t="n">
        <v>0.05</v>
      </c>
      <c r="E6" t="n">
        <v>0.1</v>
      </c>
    </row>
    <row r="7">
      <c r="A7" t="n">
        <v>-19.38</v>
      </c>
      <c r="B7" t="n">
        <v>0.027</v>
      </c>
      <c r="D7" t="n">
        <v>0.05</v>
      </c>
      <c r="E7" t="n">
        <v>0.1</v>
      </c>
    </row>
    <row r="8">
      <c r="A8" t="n">
        <v>-19.27</v>
      </c>
      <c r="B8" t="n">
        <v>0.027</v>
      </c>
      <c r="D8" t="n">
        <v>0.05</v>
      </c>
      <c r="E8" t="n">
        <v>0.1</v>
      </c>
    </row>
    <row r="9">
      <c r="A9" t="n">
        <v>-19.15</v>
      </c>
      <c r="B9" t="n">
        <v>0.027</v>
      </c>
      <c r="D9" t="n">
        <v>0.05</v>
      </c>
      <c r="E9" t="n">
        <v>0.1</v>
      </c>
    </row>
    <row r="10">
      <c r="A10" t="n">
        <v>-19.04</v>
      </c>
      <c r="B10" t="n">
        <v>0.027</v>
      </c>
      <c r="D10" t="n">
        <v>0.05</v>
      </c>
      <c r="E10" t="n">
        <v>0.1</v>
      </c>
    </row>
    <row r="11">
      <c r="A11" t="n">
        <v>-18.93</v>
      </c>
      <c r="B11" t="n">
        <v>0.027</v>
      </c>
      <c r="D11" t="n">
        <v>0.05</v>
      </c>
      <c r="E11" t="n">
        <v>0.1</v>
      </c>
    </row>
    <row r="12">
      <c r="A12" t="n">
        <v>-18.82</v>
      </c>
      <c r="B12" t="n">
        <v>0.027</v>
      </c>
      <c r="D12" t="n">
        <v>0.05</v>
      </c>
      <c r="E12" t="n">
        <v>0.1</v>
      </c>
    </row>
    <row r="13">
      <c r="A13" t="n">
        <v>-18.71</v>
      </c>
      <c r="B13" t="n">
        <v>0.027</v>
      </c>
      <c r="D13" t="n">
        <v>0.05</v>
      </c>
      <c r="E13" t="n">
        <v>0.1</v>
      </c>
    </row>
    <row r="14">
      <c r="A14" t="n">
        <v>-18.59</v>
      </c>
      <c r="B14" t="n">
        <v>0.027</v>
      </c>
      <c r="D14" t="n">
        <v>0.05</v>
      </c>
      <c r="E14" t="n">
        <v>0.1</v>
      </c>
    </row>
    <row r="15">
      <c r="A15" t="n">
        <v>-18.47</v>
      </c>
      <c r="B15" t="n">
        <v>0.027</v>
      </c>
      <c r="D15" t="n">
        <v>0.05</v>
      </c>
      <c r="E15" t="n">
        <v>0.1</v>
      </c>
    </row>
    <row r="16">
      <c r="A16" t="n">
        <v>-18.37</v>
      </c>
      <c r="B16" t="n">
        <v>0.027</v>
      </c>
      <c r="D16" t="n">
        <v>0.05</v>
      </c>
      <c r="E16" t="n">
        <v>0.1</v>
      </c>
    </row>
    <row r="17">
      <c r="A17" t="n">
        <v>-18.27</v>
      </c>
      <c r="B17" t="n">
        <v>0.027</v>
      </c>
      <c r="D17" t="n">
        <v>0.05</v>
      </c>
      <c r="E17" t="n">
        <v>0.1</v>
      </c>
    </row>
    <row r="18">
      <c r="A18" t="n">
        <v>-18.16</v>
      </c>
      <c r="B18" t="n">
        <v>0.027</v>
      </c>
      <c r="D18" t="n">
        <v>0.05</v>
      </c>
      <c r="E18" t="n">
        <v>0.1</v>
      </c>
    </row>
    <row r="19">
      <c r="A19" t="n">
        <v>-18.04</v>
      </c>
      <c r="B19" t="n">
        <v>0.027</v>
      </c>
      <c r="D19" t="n">
        <v>0.05</v>
      </c>
      <c r="E19" t="n">
        <v>0.1</v>
      </c>
    </row>
    <row r="20">
      <c r="A20" t="n">
        <v>-17.93</v>
      </c>
      <c r="B20" t="n">
        <v>0.027</v>
      </c>
      <c r="D20" t="n">
        <v>0.05</v>
      </c>
      <c r="E20" t="n">
        <v>0.1</v>
      </c>
    </row>
    <row r="21">
      <c r="A21" t="n">
        <v>-17.82</v>
      </c>
      <c r="B21" t="n">
        <v>0.027</v>
      </c>
      <c r="D21" t="n">
        <v>0.05</v>
      </c>
      <c r="E21" t="n">
        <v>0.1</v>
      </c>
    </row>
    <row r="22">
      <c r="A22" t="n">
        <v>-17.7</v>
      </c>
      <c r="B22" t="n">
        <v>0.027</v>
      </c>
      <c r="D22" t="n">
        <v>0.05</v>
      </c>
      <c r="E22" t="n">
        <v>0.1</v>
      </c>
    </row>
    <row r="23">
      <c r="A23" t="n">
        <v>-17.59</v>
      </c>
      <c r="B23" t="n">
        <v>0.027</v>
      </c>
      <c r="D23" t="n">
        <v>0.05</v>
      </c>
      <c r="E23" t="n">
        <v>0.1</v>
      </c>
    </row>
    <row r="24">
      <c r="A24" t="n">
        <v>-17.48</v>
      </c>
      <c r="B24" t="n">
        <v>0.027</v>
      </c>
      <c r="D24" t="n">
        <v>0.05</v>
      </c>
      <c r="E24" t="n">
        <v>0.1</v>
      </c>
    </row>
    <row r="25">
      <c r="A25" t="n">
        <v>-17.37</v>
      </c>
      <c r="B25" t="n">
        <v>0.027</v>
      </c>
      <c r="D25" t="n">
        <v>0.05</v>
      </c>
      <c r="E25" t="n">
        <v>0.1</v>
      </c>
    </row>
    <row r="26">
      <c r="A26" t="n">
        <v>-17.26</v>
      </c>
      <c r="B26" t="n">
        <v>0.027</v>
      </c>
      <c r="D26" t="n">
        <v>0.05</v>
      </c>
      <c r="E26" t="n">
        <v>0.1</v>
      </c>
    </row>
    <row r="27">
      <c r="A27" t="n">
        <v>-17.15</v>
      </c>
      <c r="B27" t="n">
        <v>0.027</v>
      </c>
      <c r="D27" t="n">
        <v>0.05</v>
      </c>
      <c r="E27" t="n">
        <v>0.1</v>
      </c>
    </row>
    <row r="28">
      <c r="A28" t="n">
        <v>-17.04</v>
      </c>
      <c r="B28" t="n">
        <v>0.027</v>
      </c>
      <c r="D28" t="n">
        <v>0.05</v>
      </c>
      <c r="E28" t="n">
        <v>0.1</v>
      </c>
    </row>
    <row r="29">
      <c r="A29" t="n">
        <v>-16.92</v>
      </c>
      <c r="B29" t="n">
        <v>0.027</v>
      </c>
      <c r="D29" t="n">
        <v>0.05</v>
      </c>
      <c r="E29" t="n">
        <v>0.1</v>
      </c>
    </row>
    <row r="30">
      <c r="A30" t="n">
        <v>-16.8</v>
      </c>
      <c r="B30" t="n">
        <v>0.027</v>
      </c>
      <c r="D30" t="n">
        <v>0.05</v>
      </c>
      <c r="E30" t="n">
        <v>0.1</v>
      </c>
    </row>
    <row r="31">
      <c r="A31" t="n">
        <v>-16.69</v>
      </c>
      <c r="B31" t="n">
        <v>0.027</v>
      </c>
      <c r="D31" t="n">
        <v>0.05</v>
      </c>
      <c r="E31" t="n">
        <v>0.1</v>
      </c>
    </row>
    <row r="32">
      <c r="A32" t="n">
        <v>-16.58</v>
      </c>
      <c r="B32" t="n">
        <v>0.027</v>
      </c>
      <c r="D32" t="n">
        <v>0.05</v>
      </c>
      <c r="E32" t="n">
        <v>0.1</v>
      </c>
    </row>
    <row r="33">
      <c r="A33" t="n">
        <v>-16.47</v>
      </c>
      <c r="B33" t="n">
        <v>0.027</v>
      </c>
      <c r="D33" t="n">
        <v>0.05</v>
      </c>
      <c r="E33" t="n">
        <v>0.1</v>
      </c>
    </row>
    <row r="34">
      <c r="A34" t="n">
        <v>-16.35</v>
      </c>
      <c r="B34" t="n">
        <v>0.027</v>
      </c>
      <c r="D34" t="n">
        <v>0.05</v>
      </c>
      <c r="E34" t="n">
        <v>0.1</v>
      </c>
    </row>
    <row r="35">
      <c r="A35" t="n">
        <v>-16.24</v>
      </c>
      <c r="B35" t="n">
        <v>0.027</v>
      </c>
      <c r="D35" t="n">
        <v>0.05</v>
      </c>
      <c r="E35" t="n">
        <v>0.1</v>
      </c>
    </row>
    <row r="36">
      <c r="A36" t="n">
        <v>-16.14</v>
      </c>
      <c r="B36" t="n">
        <v>0.027</v>
      </c>
      <c r="D36" t="n">
        <v>0.05</v>
      </c>
      <c r="E36" t="n">
        <v>0.1</v>
      </c>
    </row>
    <row r="37">
      <c r="A37" t="n">
        <v>-16.03</v>
      </c>
      <c r="B37" t="n">
        <v>0.027</v>
      </c>
      <c r="D37" t="n">
        <v>0.05</v>
      </c>
      <c r="E37" t="n">
        <v>0.1</v>
      </c>
    </row>
    <row r="38">
      <c r="A38" t="n">
        <v>-15.93</v>
      </c>
      <c r="B38" t="n">
        <v>0.027</v>
      </c>
      <c r="D38" t="n">
        <v>0.05</v>
      </c>
      <c r="E38" t="n">
        <v>0.1</v>
      </c>
    </row>
    <row r="39">
      <c r="A39" t="n">
        <v>-15.81</v>
      </c>
      <c r="B39" t="n">
        <v>0.027</v>
      </c>
      <c r="D39" t="n">
        <v>0.05</v>
      </c>
      <c r="E39" t="n">
        <v>0.1</v>
      </c>
    </row>
    <row r="40">
      <c r="A40" t="n">
        <v>-15.7</v>
      </c>
      <c r="B40" t="n">
        <v>0.027</v>
      </c>
      <c r="D40" t="n">
        <v>0.05</v>
      </c>
      <c r="E40" t="n">
        <v>0.1</v>
      </c>
    </row>
    <row r="41">
      <c r="A41" t="n">
        <v>-15.59</v>
      </c>
      <c r="B41" t="n">
        <v>0.027</v>
      </c>
      <c r="D41" t="n">
        <v>0.05</v>
      </c>
      <c r="E41" t="n">
        <v>0.1</v>
      </c>
    </row>
    <row r="42">
      <c r="A42" t="n">
        <v>-15.49</v>
      </c>
      <c r="B42" t="n">
        <v>0.027</v>
      </c>
      <c r="D42" t="n">
        <v>0.05</v>
      </c>
      <c r="E42" t="n">
        <v>0.1</v>
      </c>
    </row>
    <row r="43">
      <c r="A43" t="n">
        <v>-15.38</v>
      </c>
      <c r="B43" t="n">
        <v>0.027</v>
      </c>
      <c r="D43" t="n">
        <v>0.05</v>
      </c>
      <c r="E43" t="n">
        <v>0.1</v>
      </c>
    </row>
    <row r="44">
      <c r="A44" t="n">
        <v>-15.27</v>
      </c>
      <c r="B44" t="n">
        <v>0.027</v>
      </c>
      <c r="D44" t="n">
        <v>0.05</v>
      </c>
      <c r="E44" t="n">
        <v>0.1</v>
      </c>
    </row>
    <row r="45">
      <c r="A45" t="n">
        <v>-15.16</v>
      </c>
      <c r="B45" t="n">
        <v>0.027</v>
      </c>
      <c r="D45" t="n">
        <v>0.05</v>
      </c>
      <c r="E45" t="n">
        <v>0.1</v>
      </c>
    </row>
    <row r="46">
      <c r="A46" t="n">
        <v>-15.05</v>
      </c>
      <c r="B46" t="n">
        <v>0.027</v>
      </c>
      <c r="D46" t="n">
        <v>0.05</v>
      </c>
      <c r="E46" t="n">
        <v>0.1</v>
      </c>
    </row>
    <row r="47">
      <c r="A47" t="n">
        <v>-14.95</v>
      </c>
      <c r="B47" t="n">
        <v>0.027</v>
      </c>
      <c r="D47" t="n">
        <v>0.05</v>
      </c>
      <c r="E47" t="n">
        <v>0.1</v>
      </c>
    </row>
    <row r="48">
      <c r="A48" t="n">
        <v>-14.84</v>
      </c>
      <c r="B48" t="n">
        <v>0.027</v>
      </c>
      <c r="D48" t="n">
        <v>0.05</v>
      </c>
      <c r="E48" t="n">
        <v>0.1</v>
      </c>
    </row>
    <row r="49">
      <c r="A49" t="n">
        <v>-14.73</v>
      </c>
      <c r="B49" t="n">
        <v>0.027</v>
      </c>
      <c r="D49" t="n">
        <v>0.05</v>
      </c>
      <c r="E49" t="n">
        <v>0.1</v>
      </c>
    </row>
    <row r="50">
      <c r="A50" t="n">
        <v>-14.61</v>
      </c>
      <c r="B50" t="n">
        <v>0.027</v>
      </c>
      <c r="D50" t="n">
        <v>0.05</v>
      </c>
      <c r="E50" t="n">
        <v>0.1</v>
      </c>
    </row>
    <row r="51">
      <c r="A51" t="n">
        <v>-14.5</v>
      </c>
      <c r="B51" t="n">
        <v>0.027</v>
      </c>
      <c r="D51" t="n">
        <v>0.05</v>
      </c>
      <c r="E51" t="n">
        <v>0.1</v>
      </c>
    </row>
    <row r="52">
      <c r="A52" t="n">
        <v>-14.39</v>
      </c>
      <c r="B52" t="n">
        <v>0.027</v>
      </c>
      <c r="D52" t="n">
        <v>0.05</v>
      </c>
      <c r="E52" t="n">
        <v>0.1</v>
      </c>
    </row>
    <row r="53">
      <c r="A53" t="n">
        <v>-14.28</v>
      </c>
      <c r="B53" t="n">
        <v>0.027</v>
      </c>
      <c r="D53" t="n">
        <v>0.05</v>
      </c>
      <c r="E53" t="n">
        <v>0.1</v>
      </c>
    </row>
    <row r="54">
      <c r="A54" t="n">
        <v>-14.17</v>
      </c>
      <c r="B54" t="n">
        <v>0.027</v>
      </c>
      <c r="D54" t="n">
        <v>0.05</v>
      </c>
      <c r="E54" t="n">
        <v>0.1</v>
      </c>
    </row>
    <row r="55">
      <c r="A55" t="n">
        <v>-14.04</v>
      </c>
      <c r="B55" t="n">
        <v>0.027</v>
      </c>
      <c r="D55" t="n">
        <v>0.05</v>
      </c>
      <c r="E55" t="n">
        <v>0.1</v>
      </c>
    </row>
    <row r="56">
      <c r="A56" t="n">
        <v>-13.93</v>
      </c>
      <c r="B56" t="n">
        <v>0.027</v>
      </c>
      <c r="D56" t="n">
        <v>0.05</v>
      </c>
      <c r="E56" t="n">
        <v>0.1</v>
      </c>
    </row>
    <row r="57">
      <c r="A57" t="n">
        <v>-13.81</v>
      </c>
      <c r="B57" t="n">
        <v>0.027</v>
      </c>
      <c r="D57" t="n">
        <v>0.05</v>
      </c>
      <c r="E57" t="n">
        <v>0.1</v>
      </c>
    </row>
    <row r="58">
      <c r="A58" t="n">
        <v>-13.69</v>
      </c>
      <c r="B58" t="n">
        <v>0.027</v>
      </c>
      <c r="D58" t="n">
        <v>0.05</v>
      </c>
      <c r="E58" t="n">
        <v>0.1</v>
      </c>
    </row>
    <row r="59">
      <c r="A59" t="n">
        <v>-13.59</v>
      </c>
      <c r="B59" t="n">
        <v>0.027</v>
      </c>
      <c r="D59" t="n">
        <v>0.05</v>
      </c>
      <c r="E59" t="n">
        <v>0.1</v>
      </c>
    </row>
    <row r="60">
      <c r="A60" t="n">
        <v>-13.47</v>
      </c>
      <c r="B60" t="n">
        <v>0.027</v>
      </c>
      <c r="D60" t="n">
        <v>0.05</v>
      </c>
      <c r="E60" t="n">
        <v>0.1</v>
      </c>
    </row>
    <row r="61">
      <c r="A61" t="n">
        <v>-13.34</v>
      </c>
      <c r="B61" t="n">
        <v>0.027</v>
      </c>
      <c r="D61" t="n">
        <v>0.05</v>
      </c>
      <c r="E61" t="n">
        <v>0.1</v>
      </c>
    </row>
    <row r="62">
      <c r="A62" t="n">
        <v>-13.22</v>
      </c>
      <c r="B62" t="n">
        <v>0.027</v>
      </c>
      <c r="D62" t="n">
        <v>0.05</v>
      </c>
      <c r="E62" t="n">
        <v>0.1</v>
      </c>
    </row>
    <row r="63">
      <c r="A63" t="n">
        <v>-13.12</v>
      </c>
      <c r="B63" t="n">
        <v>0.027</v>
      </c>
      <c r="D63" t="n">
        <v>0.05</v>
      </c>
      <c r="E63" t="n">
        <v>0.1</v>
      </c>
    </row>
    <row r="64">
      <c r="A64" t="n">
        <v>-13.01</v>
      </c>
      <c r="B64" t="n">
        <v>0.027</v>
      </c>
      <c r="D64" t="n">
        <v>0.05</v>
      </c>
      <c r="E64" t="n">
        <v>0.1</v>
      </c>
    </row>
    <row r="65">
      <c r="A65" t="n">
        <v>-12.91</v>
      </c>
      <c r="B65" t="n">
        <v>0.027</v>
      </c>
      <c r="D65" t="n">
        <v>0.05</v>
      </c>
      <c r="E65" t="n">
        <v>0.1</v>
      </c>
    </row>
    <row r="66">
      <c r="A66" t="n">
        <v>-12.8</v>
      </c>
      <c r="B66" t="n">
        <v>0.027</v>
      </c>
      <c r="D66" t="n">
        <v>0.05</v>
      </c>
      <c r="E66" t="n">
        <v>0.1</v>
      </c>
    </row>
    <row r="67">
      <c r="A67" t="n">
        <v>-12.67</v>
      </c>
      <c r="B67" t="n">
        <v>0.027</v>
      </c>
      <c r="D67" t="n">
        <v>0.05</v>
      </c>
      <c r="E67" t="n">
        <v>0.1</v>
      </c>
    </row>
    <row r="68">
      <c r="A68" t="n">
        <v>-12.56</v>
      </c>
      <c r="B68" t="n">
        <v>0.027</v>
      </c>
      <c r="D68" t="n">
        <v>0.05</v>
      </c>
      <c r="E68" t="n">
        <v>0.1</v>
      </c>
    </row>
    <row r="69">
      <c r="A69" t="n">
        <v>-12.46</v>
      </c>
      <c r="B69" t="n">
        <v>0.027</v>
      </c>
      <c r="D69" t="n">
        <v>0.05</v>
      </c>
      <c r="E69" t="n">
        <v>0.1</v>
      </c>
    </row>
    <row r="70">
      <c r="A70" t="n">
        <v>-12.34</v>
      </c>
      <c r="B70" t="n">
        <v>0.027</v>
      </c>
      <c r="D70" t="n">
        <v>0.05</v>
      </c>
      <c r="E70" t="n">
        <v>0.1</v>
      </c>
    </row>
    <row r="71">
      <c r="A71" t="n">
        <v>-12.23</v>
      </c>
      <c r="B71" t="n">
        <v>0.027</v>
      </c>
      <c r="D71" t="n">
        <v>0.05</v>
      </c>
      <c r="E71" t="n">
        <v>0.1</v>
      </c>
    </row>
    <row r="72">
      <c r="A72" t="n">
        <v>-12.13</v>
      </c>
      <c r="B72" t="n">
        <v>0.027</v>
      </c>
      <c r="D72" t="n">
        <v>0.05</v>
      </c>
      <c r="E72" t="n">
        <v>0.1</v>
      </c>
    </row>
    <row r="73">
      <c r="A73" t="n">
        <v>-12.02</v>
      </c>
      <c r="B73" t="n">
        <v>0.027</v>
      </c>
      <c r="D73" t="n">
        <v>0.05</v>
      </c>
      <c r="E73" t="n">
        <v>0.1</v>
      </c>
    </row>
    <row r="74">
      <c r="A74" t="n">
        <v>-11.86</v>
      </c>
      <c r="B74" t="n">
        <v>0.027</v>
      </c>
      <c r="D74" t="n">
        <v>0.05</v>
      </c>
      <c r="E74" t="n">
        <v>0.1</v>
      </c>
    </row>
    <row r="75">
      <c r="A75" t="n">
        <v>-11.75</v>
      </c>
      <c r="B75" t="n">
        <v>0.027</v>
      </c>
      <c r="D75" t="n">
        <v>0.05</v>
      </c>
      <c r="E75" t="n">
        <v>0.1</v>
      </c>
    </row>
    <row r="76">
      <c r="A76" t="n">
        <v>-11.63</v>
      </c>
      <c r="B76" t="n">
        <v>0.027</v>
      </c>
      <c r="D76" t="n">
        <v>0.05</v>
      </c>
      <c r="E76" t="n">
        <v>0.1</v>
      </c>
    </row>
    <row r="77">
      <c r="A77" t="n">
        <v>-11.53</v>
      </c>
      <c r="B77" t="n">
        <v>0.027</v>
      </c>
      <c r="D77" t="n">
        <v>0.05</v>
      </c>
      <c r="E77" t="n">
        <v>0.1</v>
      </c>
    </row>
    <row r="78">
      <c r="A78" t="n">
        <v>-11.42</v>
      </c>
      <c r="B78" t="n">
        <v>0.027</v>
      </c>
      <c r="D78" t="n">
        <v>0.05</v>
      </c>
      <c r="E78" t="n">
        <v>0.1</v>
      </c>
    </row>
    <row r="79">
      <c r="A79" t="n">
        <v>-11.3</v>
      </c>
      <c r="B79" t="n">
        <v>0.027</v>
      </c>
      <c r="D79" t="n">
        <v>0.05</v>
      </c>
      <c r="E79" t="n">
        <v>0.1</v>
      </c>
    </row>
    <row r="80">
      <c r="A80" t="n">
        <v>-11.18</v>
      </c>
      <c r="B80" t="n">
        <v>0.027</v>
      </c>
      <c r="D80" t="n">
        <v>0.05</v>
      </c>
      <c r="E80" t="n">
        <v>0.1</v>
      </c>
    </row>
    <row r="81">
      <c r="A81" t="n">
        <v>-11.08</v>
      </c>
      <c r="B81" t="n">
        <v>0.027</v>
      </c>
      <c r="D81" t="n">
        <v>0.05</v>
      </c>
      <c r="E81" t="n">
        <v>0.1</v>
      </c>
    </row>
    <row r="82">
      <c r="A82" t="n">
        <v>-10.97</v>
      </c>
      <c r="B82" t="n">
        <v>0.027</v>
      </c>
      <c r="D82" t="n">
        <v>0.05</v>
      </c>
      <c r="E82" t="n">
        <v>0.1</v>
      </c>
    </row>
    <row r="83">
      <c r="A83" t="n">
        <v>-10.87</v>
      </c>
      <c r="B83" t="n">
        <v>0.027</v>
      </c>
      <c r="D83" t="n">
        <v>0.05</v>
      </c>
      <c r="E83" t="n">
        <v>0.1</v>
      </c>
    </row>
    <row r="84">
      <c r="A84" t="n">
        <v>-10.75</v>
      </c>
      <c r="B84" t="n">
        <v>0.027</v>
      </c>
      <c r="D84" t="n">
        <v>0.05</v>
      </c>
      <c r="E84" t="n">
        <v>0.1</v>
      </c>
    </row>
    <row r="85">
      <c r="A85" t="n">
        <v>-10.63</v>
      </c>
      <c r="B85" t="n">
        <v>0.027</v>
      </c>
      <c r="D85" t="n">
        <v>0.05</v>
      </c>
      <c r="E85" t="n">
        <v>0.1</v>
      </c>
    </row>
    <row r="86">
      <c r="A86" t="n">
        <v>-10.53</v>
      </c>
      <c r="B86" t="n">
        <v>0.027</v>
      </c>
      <c r="D86" t="n">
        <v>0.05</v>
      </c>
      <c r="E86" t="n">
        <v>0.1</v>
      </c>
    </row>
    <row r="87">
      <c r="A87" t="n">
        <v>-10.42</v>
      </c>
      <c r="B87" t="n">
        <v>0.027</v>
      </c>
      <c r="D87" t="n">
        <v>0.05</v>
      </c>
      <c r="E87" t="n">
        <v>0.1</v>
      </c>
    </row>
    <row r="88">
      <c r="A88" t="n">
        <v>-10.31</v>
      </c>
      <c r="B88" t="n">
        <v>0.027</v>
      </c>
      <c r="D88" t="n">
        <v>0.05</v>
      </c>
      <c r="E88" t="n">
        <v>0.1</v>
      </c>
    </row>
    <row r="89">
      <c r="A89" t="n">
        <v>-10.2</v>
      </c>
      <c r="B89" t="n">
        <v>0.027</v>
      </c>
      <c r="D89" t="n">
        <v>0.05</v>
      </c>
      <c r="E89" t="n">
        <v>0.1</v>
      </c>
    </row>
    <row r="90">
      <c r="A90" t="n">
        <v>-10.08</v>
      </c>
      <c r="B90" t="n">
        <v>0.027</v>
      </c>
      <c r="D90" t="n">
        <v>0.05</v>
      </c>
      <c r="E90" t="n">
        <v>0.1</v>
      </c>
    </row>
    <row r="91">
      <c r="A91" t="n">
        <v>-9.960000000000001</v>
      </c>
      <c r="B91" t="n">
        <v>0.027</v>
      </c>
      <c r="D91" t="n">
        <v>0.05</v>
      </c>
      <c r="E91" t="n">
        <v>0.1</v>
      </c>
    </row>
    <row r="92">
      <c r="A92" t="n">
        <v>-9.85</v>
      </c>
      <c r="B92" t="n">
        <v>0.027</v>
      </c>
      <c r="D92" t="n">
        <v>0.05</v>
      </c>
      <c r="E92" t="n">
        <v>0.1</v>
      </c>
    </row>
    <row r="93">
      <c r="A93" t="n">
        <v>-9.75</v>
      </c>
      <c r="B93" t="n">
        <v>0.027</v>
      </c>
      <c r="D93" t="n">
        <v>0.05</v>
      </c>
      <c r="E93" t="n">
        <v>0.1</v>
      </c>
    </row>
    <row r="94">
      <c r="A94" t="n">
        <v>-9.630000000000001</v>
      </c>
      <c r="B94" t="n">
        <v>0.027</v>
      </c>
      <c r="D94" t="n">
        <v>0.05</v>
      </c>
      <c r="E94" t="n">
        <v>0.1</v>
      </c>
    </row>
    <row r="95">
      <c r="A95" t="n">
        <v>-9.52</v>
      </c>
      <c r="B95" t="n">
        <v>0.027</v>
      </c>
      <c r="D95" t="n">
        <v>0.05</v>
      </c>
      <c r="E95" t="n">
        <v>0.1</v>
      </c>
    </row>
    <row r="96">
      <c r="A96" t="n">
        <v>-9.4</v>
      </c>
      <c r="B96" t="n">
        <v>0.027</v>
      </c>
      <c r="D96" t="n">
        <v>0.05</v>
      </c>
      <c r="E96" t="n">
        <v>0.1</v>
      </c>
    </row>
    <row r="97">
      <c r="A97" t="n">
        <v>-9.289999999999999</v>
      </c>
      <c r="B97" t="n">
        <v>0.027</v>
      </c>
      <c r="D97" t="n">
        <v>0.05</v>
      </c>
      <c r="E97" t="n">
        <v>0.1</v>
      </c>
    </row>
    <row r="98">
      <c r="A98" t="n">
        <v>-9.19</v>
      </c>
      <c r="B98" t="n">
        <v>0.027</v>
      </c>
      <c r="D98" t="n">
        <v>0.05</v>
      </c>
      <c r="E98" t="n">
        <v>0.1</v>
      </c>
    </row>
    <row r="99">
      <c r="A99" t="n">
        <v>-9.07</v>
      </c>
      <c r="B99" t="n">
        <v>0.027</v>
      </c>
      <c r="D99" t="n">
        <v>0.05</v>
      </c>
      <c r="E99" t="n">
        <v>0.1</v>
      </c>
    </row>
    <row r="100">
      <c r="A100" t="n">
        <v>-8.970000000000001</v>
      </c>
      <c r="B100" t="n">
        <v>0.027</v>
      </c>
      <c r="D100" t="n">
        <v>0.05</v>
      </c>
      <c r="E100" t="n">
        <v>0.1</v>
      </c>
    </row>
    <row r="101">
      <c r="A101" t="n">
        <v>-8.859999999999999</v>
      </c>
      <c r="B101" t="n">
        <v>0.027</v>
      </c>
      <c r="D101" t="n">
        <v>0.05</v>
      </c>
      <c r="E101" t="n">
        <v>0.1</v>
      </c>
    </row>
    <row r="102">
      <c r="A102" t="n">
        <v>-8.75</v>
      </c>
      <c r="B102" t="n">
        <v>0.027</v>
      </c>
      <c r="D102" t="n">
        <v>0.05</v>
      </c>
      <c r="E102" t="n">
        <v>0.1</v>
      </c>
    </row>
    <row r="103">
      <c r="A103" t="n">
        <v>-8.65</v>
      </c>
      <c r="B103" t="n">
        <v>0.027</v>
      </c>
      <c r="D103" t="n">
        <v>0.05</v>
      </c>
      <c r="E103" t="n">
        <v>0.1</v>
      </c>
    </row>
    <row r="104">
      <c r="A104" t="n">
        <v>-8.539999999999999</v>
      </c>
      <c r="B104" t="n">
        <v>0.027</v>
      </c>
      <c r="D104" t="n">
        <v>0.05</v>
      </c>
      <c r="E104" t="n">
        <v>0.1</v>
      </c>
    </row>
    <row r="105">
      <c r="A105" t="n">
        <v>-8.43</v>
      </c>
      <c r="B105" t="n">
        <v>0.027</v>
      </c>
      <c r="D105" t="n">
        <v>0.05</v>
      </c>
      <c r="E105" t="n">
        <v>0.1</v>
      </c>
    </row>
    <row r="106">
      <c r="A106" t="n">
        <v>-8.289999999999999</v>
      </c>
      <c r="B106" t="n">
        <v>0.027</v>
      </c>
      <c r="D106" t="n">
        <v>0.05</v>
      </c>
      <c r="E106" t="n">
        <v>0.1</v>
      </c>
    </row>
    <row r="107">
      <c r="A107" t="n">
        <v>-8.17</v>
      </c>
      <c r="B107" t="n">
        <v>0.027</v>
      </c>
      <c r="D107" t="n">
        <v>0.05</v>
      </c>
      <c r="E107" t="n">
        <v>0.1</v>
      </c>
    </row>
    <row r="108">
      <c r="A108" t="n">
        <v>-8.01</v>
      </c>
      <c r="B108" t="n">
        <v>0.027</v>
      </c>
      <c r="D108" t="n">
        <v>0.05</v>
      </c>
      <c r="E108" t="n">
        <v>0.1</v>
      </c>
    </row>
    <row r="109">
      <c r="A109" t="n">
        <v>-7.91</v>
      </c>
      <c r="B109" t="n">
        <v>0.027</v>
      </c>
      <c r="D109" t="n">
        <v>0.05</v>
      </c>
      <c r="E109" t="n">
        <v>0.1</v>
      </c>
    </row>
    <row r="110">
      <c r="A110" t="n">
        <v>-7.78</v>
      </c>
      <c r="B110" t="n">
        <v>0.027</v>
      </c>
      <c r="D110" t="n">
        <v>0.05</v>
      </c>
      <c r="E110" t="n">
        <v>0.1</v>
      </c>
    </row>
    <row r="111">
      <c r="A111" t="n">
        <v>-7.67</v>
      </c>
      <c r="B111" t="n">
        <v>0.027</v>
      </c>
      <c r="D111" t="n">
        <v>0.05</v>
      </c>
      <c r="E111" t="n">
        <v>0.1</v>
      </c>
    </row>
    <row r="112">
      <c r="A112" t="n">
        <v>-7.54</v>
      </c>
      <c r="B112" t="n">
        <v>0.027</v>
      </c>
      <c r="D112" t="n">
        <v>0.05</v>
      </c>
      <c r="E112" t="n">
        <v>0.1</v>
      </c>
    </row>
    <row r="113">
      <c r="A113" t="n">
        <v>-7.42</v>
      </c>
      <c r="B113" t="n">
        <v>0.027</v>
      </c>
      <c r="D113" t="n">
        <v>0.05</v>
      </c>
      <c r="E113" t="n">
        <v>0.1</v>
      </c>
    </row>
    <row r="114">
      <c r="A114" t="n">
        <v>-7.31</v>
      </c>
      <c r="B114" t="n">
        <v>0.027</v>
      </c>
      <c r="D114" t="n">
        <v>0.05</v>
      </c>
      <c r="E114" t="n">
        <v>0.1</v>
      </c>
    </row>
    <row r="115">
      <c r="A115" t="n">
        <v>-7.19</v>
      </c>
      <c r="B115" t="n">
        <v>0.027</v>
      </c>
      <c r="D115" t="n">
        <v>0.05</v>
      </c>
      <c r="E115" t="n">
        <v>0.1</v>
      </c>
    </row>
    <row r="116">
      <c r="A116" t="n">
        <v>-7.08</v>
      </c>
      <c r="B116" t="n">
        <v>0.027</v>
      </c>
      <c r="D116" t="n">
        <v>0.05</v>
      </c>
      <c r="E116" t="n">
        <v>0.1</v>
      </c>
    </row>
    <row r="117">
      <c r="A117" t="n">
        <v>-6.96</v>
      </c>
      <c r="B117" t="n">
        <v>0.027</v>
      </c>
      <c r="D117" t="n">
        <v>0.05</v>
      </c>
      <c r="E117" t="n">
        <v>0.1</v>
      </c>
    </row>
    <row r="118">
      <c r="A118" t="n">
        <v>-6.85</v>
      </c>
      <c r="B118" t="n">
        <v>0.027</v>
      </c>
      <c r="D118" t="n">
        <v>0.05</v>
      </c>
      <c r="E118" t="n">
        <v>0.1</v>
      </c>
    </row>
    <row r="119">
      <c r="A119" t="n">
        <v>-6.74</v>
      </c>
      <c r="B119" t="n">
        <v>0.027</v>
      </c>
      <c r="D119" t="n">
        <v>0.05</v>
      </c>
      <c r="E119" t="n">
        <v>0.1</v>
      </c>
    </row>
    <row r="120">
      <c r="A120" t="n">
        <v>-6.62</v>
      </c>
      <c r="B120" t="n">
        <v>0.027</v>
      </c>
      <c r="D120" t="n">
        <v>0.05</v>
      </c>
      <c r="E120" t="n">
        <v>0.1</v>
      </c>
    </row>
    <row r="121">
      <c r="A121" t="n">
        <v>-6.51</v>
      </c>
      <c r="B121" t="n">
        <v>0.027</v>
      </c>
      <c r="D121" t="n">
        <v>0.05</v>
      </c>
      <c r="E121" t="n">
        <v>0.1</v>
      </c>
    </row>
    <row r="122">
      <c r="A122" t="n">
        <v>-6.39</v>
      </c>
      <c r="B122" t="n">
        <v>0.027</v>
      </c>
      <c r="D122" t="n">
        <v>0.05</v>
      </c>
      <c r="E122" t="n">
        <v>0.1</v>
      </c>
    </row>
    <row r="123">
      <c r="A123" t="n">
        <v>-6.29</v>
      </c>
      <c r="B123" t="n">
        <v>0.027</v>
      </c>
      <c r="D123" t="n">
        <v>0.05</v>
      </c>
      <c r="E123" t="n">
        <v>0.1</v>
      </c>
    </row>
    <row r="124">
      <c r="A124" t="n">
        <v>-6.16</v>
      </c>
      <c r="B124" t="n">
        <v>0.027</v>
      </c>
      <c r="D124" t="n">
        <v>0.05</v>
      </c>
      <c r="E124" t="n">
        <v>0.1</v>
      </c>
    </row>
    <row r="125">
      <c r="A125" t="n">
        <v>-6.04</v>
      </c>
      <c r="B125" t="n">
        <v>0.027</v>
      </c>
      <c r="D125" t="n">
        <v>0.05</v>
      </c>
      <c r="E125" t="n">
        <v>0.1</v>
      </c>
    </row>
    <row r="126">
      <c r="A126" t="n">
        <v>-5.93</v>
      </c>
      <c r="B126" t="n">
        <v>0.027</v>
      </c>
      <c r="D126" t="n">
        <v>0.05</v>
      </c>
      <c r="E126" t="n">
        <v>0.1</v>
      </c>
    </row>
    <row r="127">
      <c r="A127" t="n">
        <v>-5.82</v>
      </c>
      <c r="B127" t="n">
        <v>0.027</v>
      </c>
      <c r="D127" t="n">
        <v>0.05</v>
      </c>
      <c r="E127" t="n">
        <v>0.1</v>
      </c>
    </row>
    <row r="128">
      <c r="A128" t="n">
        <v>-5.71</v>
      </c>
      <c r="B128" t="n">
        <v>0.027</v>
      </c>
      <c r="D128" t="n">
        <v>0.05</v>
      </c>
      <c r="E128" t="n">
        <v>0.1</v>
      </c>
    </row>
    <row r="129">
      <c r="A129" t="n">
        <v>-5.59</v>
      </c>
      <c r="B129" t="n">
        <v>0.027</v>
      </c>
      <c r="D129" t="n">
        <v>0.05</v>
      </c>
      <c r="E129" t="n">
        <v>0.1</v>
      </c>
    </row>
    <row r="130">
      <c r="A130" t="n">
        <v>-5.48</v>
      </c>
      <c r="B130" t="n">
        <v>0.027</v>
      </c>
      <c r="D130" t="n">
        <v>0.05</v>
      </c>
      <c r="E130" t="n">
        <v>0.1</v>
      </c>
    </row>
    <row r="131">
      <c r="A131" t="n">
        <v>-5.37</v>
      </c>
      <c r="B131" t="n">
        <v>0.027</v>
      </c>
      <c r="D131" t="n">
        <v>0.05</v>
      </c>
      <c r="E131" t="n">
        <v>0.1</v>
      </c>
    </row>
    <row r="132">
      <c r="A132" t="n">
        <v>-5.25</v>
      </c>
      <c r="B132" t="n">
        <v>0.027</v>
      </c>
      <c r="D132" t="n">
        <v>0.05</v>
      </c>
      <c r="E132" t="n">
        <v>0.1</v>
      </c>
    </row>
    <row r="133">
      <c r="A133" t="n">
        <v>-5.14</v>
      </c>
      <c r="B133" t="n">
        <v>0.027</v>
      </c>
      <c r="D133" t="n">
        <v>0.05</v>
      </c>
      <c r="E133" t="n">
        <v>0.1</v>
      </c>
    </row>
    <row r="134">
      <c r="A134" t="n">
        <v>-5.03</v>
      </c>
      <c r="B134" t="n">
        <v>0.027</v>
      </c>
      <c r="D134" t="n">
        <v>0.05</v>
      </c>
      <c r="E134" t="n">
        <v>0.1</v>
      </c>
    </row>
    <row r="135">
      <c r="A135" t="n">
        <v>-4.92</v>
      </c>
      <c r="B135" t="n">
        <v>0.027</v>
      </c>
      <c r="D135" t="n">
        <v>0.05</v>
      </c>
      <c r="E135" t="n">
        <v>0.1</v>
      </c>
    </row>
    <row r="136">
      <c r="A136" t="n">
        <v>-4.8</v>
      </c>
      <c r="B136" t="n">
        <v>0.027</v>
      </c>
      <c r="D136" t="n">
        <v>0.05</v>
      </c>
      <c r="E136" t="n">
        <v>0.1</v>
      </c>
    </row>
    <row r="137">
      <c r="A137" t="n">
        <v>-4.69</v>
      </c>
      <c r="B137" t="n">
        <v>0.027</v>
      </c>
      <c r="D137" t="n">
        <v>0.05</v>
      </c>
      <c r="E137" t="n">
        <v>0.1</v>
      </c>
    </row>
    <row r="138">
      <c r="A138" t="n">
        <v>-4.57</v>
      </c>
      <c r="B138" t="n">
        <v>0.027</v>
      </c>
      <c r="D138" t="n">
        <v>0.05</v>
      </c>
      <c r="E138" t="n">
        <v>0.1</v>
      </c>
    </row>
    <row r="139">
      <c r="A139" t="n">
        <v>-4.46</v>
      </c>
      <c r="B139" t="n">
        <v>0.027</v>
      </c>
      <c r="D139" t="n">
        <v>0.05</v>
      </c>
      <c r="E139" t="n">
        <v>0.1</v>
      </c>
    </row>
    <row r="140">
      <c r="A140" t="n">
        <v>-4.35</v>
      </c>
      <c r="B140" t="n">
        <v>0.027</v>
      </c>
      <c r="D140" t="n">
        <v>0.05</v>
      </c>
      <c r="E140" t="n">
        <v>0.1</v>
      </c>
    </row>
    <row r="141">
      <c r="A141" t="n">
        <v>-4.24</v>
      </c>
      <c r="B141" t="n">
        <v>0.027</v>
      </c>
      <c r="D141" t="n">
        <v>0.05</v>
      </c>
      <c r="E141" t="n">
        <v>0.1</v>
      </c>
    </row>
    <row r="142">
      <c r="A142" t="n">
        <v>-4.1</v>
      </c>
      <c r="B142" t="n">
        <v>0.027</v>
      </c>
      <c r="D142" t="n">
        <v>0.05</v>
      </c>
      <c r="E142" t="n">
        <v>0.1</v>
      </c>
    </row>
    <row r="143">
      <c r="A143" t="n">
        <v>-3.99</v>
      </c>
      <c r="B143" t="n">
        <v>0.027</v>
      </c>
      <c r="D143" t="n">
        <v>0.05</v>
      </c>
      <c r="E143" t="n">
        <v>0.1</v>
      </c>
    </row>
    <row r="144">
      <c r="A144" t="n">
        <v>-3.88</v>
      </c>
      <c r="B144" t="n">
        <v>0.027</v>
      </c>
      <c r="D144" t="n">
        <v>0.05</v>
      </c>
      <c r="E144" t="n">
        <v>0.1</v>
      </c>
    </row>
    <row r="145">
      <c r="A145" t="n">
        <v>-3.78</v>
      </c>
      <c r="B145" t="n">
        <v>0.027</v>
      </c>
      <c r="D145" t="n">
        <v>0.05</v>
      </c>
      <c r="E145" t="n">
        <v>0.1</v>
      </c>
    </row>
    <row r="146">
      <c r="A146" t="n">
        <v>-3.66</v>
      </c>
      <c r="B146" t="n">
        <v>0.027</v>
      </c>
      <c r="D146" t="n">
        <v>0.05</v>
      </c>
      <c r="E146" t="n">
        <v>0.1</v>
      </c>
    </row>
    <row r="147">
      <c r="A147" t="n">
        <v>-3.55</v>
      </c>
      <c r="B147" t="n">
        <v>0.027</v>
      </c>
      <c r="D147" t="n">
        <v>0.05</v>
      </c>
      <c r="E147" t="n">
        <v>0.1</v>
      </c>
    </row>
    <row r="148">
      <c r="A148" t="n">
        <v>-3.45</v>
      </c>
      <c r="B148" t="n">
        <v>0.027</v>
      </c>
      <c r="D148" t="n">
        <v>0.05</v>
      </c>
      <c r="E148" t="n">
        <v>0.1</v>
      </c>
    </row>
    <row r="149">
      <c r="A149" t="n">
        <v>-3.34</v>
      </c>
      <c r="B149" t="n">
        <v>0.027</v>
      </c>
      <c r="D149" t="n">
        <v>0.05</v>
      </c>
      <c r="E149" t="n">
        <v>0.1</v>
      </c>
    </row>
    <row r="150">
      <c r="A150" t="n">
        <v>-3.23</v>
      </c>
      <c r="B150" t="n">
        <v>0.027</v>
      </c>
      <c r="D150" t="n">
        <v>0.05</v>
      </c>
      <c r="E150" t="n">
        <v>0.1</v>
      </c>
    </row>
    <row r="151">
      <c r="A151" t="n">
        <v>-3.11</v>
      </c>
      <c r="B151" t="n">
        <v>0.027</v>
      </c>
      <c r="D151" t="n">
        <v>0.05</v>
      </c>
      <c r="E151" t="n">
        <v>0.1</v>
      </c>
    </row>
    <row r="152">
      <c r="A152" t="n">
        <v>-3.01</v>
      </c>
      <c r="B152" t="n">
        <v>0.027</v>
      </c>
      <c r="D152" t="n">
        <v>0.05</v>
      </c>
      <c r="E152" t="n">
        <v>0.1</v>
      </c>
    </row>
    <row r="153">
      <c r="A153" t="n">
        <v>-2.89</v>
      </c>
      <c r="B153" t="n">
        <v>0.027</v>
      </c>
      <c r="D153" t="n">
        <v>0.05</v>
      </c>
      <c r="E153" t="n">
        <v>0.1</v>
      </c>
    </row>
    <row r="154">
      <c r="A154" t="n">
        <v>-2.79</v>
      </c>
      <c r="B154" t="n">
        <v>0.027</v>
      </c>
      <c r="D154" t="n">
        <v>0.05</v>
      </c>
      <c r="E154" t="n">
        <v>0.1</v>
      </c>
    </row>
    <row r="155">
      <c r="A155" t="n">
        <v>-2.68</v>
      </c>
      <c r="B155" t="n">
        <v>0.027</v>
      </c>
      <c r="D155" t="n">
        <v>0.05</v>
      </c>
      <c r="E155" t="n">
        <v>0.1</v>
      </c>
    </row>
    <row r="156">
      <c r="A156" t="n">
        <v>-2.56</v>
      </c>
      <c r="B156" t="n">
        <v>0.027</v>
      </c>
      <c r="D156" t="n">
        <v>0.05</v>
      </c>
      <c r="E156" t="n">
        <v>0.1</v>
      </c>
    </row>
    <row r="157">
      <c r="A157" t="n">
        <v>-2.46</v>
      </c>
      <c r="B157" t="n">
        <v>0.027</v>
      </c>
      <c r="D157" t="n">
        <v>0.05</v>
      </c>
      <c r="E157" t="n">
        <v>0.1</v>
      </c>
    </row>
    <row r="158">
      <c r="A158" t="n">
        <v>-2.35</v>
      </c>
      <c r="B158" t="n">
        <v>0.027</v>
      </c>
      <c r="D158" t="n">
        <v>0.05</v>
      </c>
      <c r="E158" t="n">
        <v>0.1</v>
      </c>
    </row>
    <row r="159">
      <c r="A159" t="n">
        <v>-2.23</v>
      </c>
      <c r="B159" t="n">
        <v>0.027</v>
      </c>
      <c r="D159" t="n">
        <v>0.05</v>
      </c>
      <c r="E159" t="n">
        <v>0.1</v>
      </c>
    </row>
    <row r="160">
      <c r="A160" t="n">
        <v>-2.13</v>
      </c>
      <c r="B160" t="n">
        <v>0.027</v>
      </c>
      <c r="D160" t="n">
        <v>0.05</v>
      </c>
      <c r="E160" t="n">
        <v>0.1</v>
      </c>
    </row>
    <row r="161">
      <c r="A161" t="n">
        <v>-2</v>
      </c>
      <c r="B161" t="n">
        <v>0.027</v>
      </c>
      <c r="D161" t="n">
        <v>0.05</v>
      </c>
      <c r="E161" t="n">
        <v>0.1</v>
      </c>
    </row>
    <row r="162">
      <c r="A162" t="n">
        <v>-1.89</v>
      </c>
      <c r="B162" t="n">
        <v>0.027</v>
      </c>
      <c r="D162" t="n">
        <v>0.05</v>
      </c>
      <c r="E162" t="n">
        <v>0.1</v>
      </c>
    </row>
    <row r="163">
      <c r="A163" t="n">
        <v>-1.77</v>
      </c>
      <c r="B163" t="n">
        <v>0.027</v>
      </c>
      <c r="D163" t="n">
        <v>0.05</v>
      </c>
      <c r="E163" t="n">
        <v>0.1</v>
      </c>
    </row>
    <row r="164">
      <c r="A164" t="n">
        <v>-1.66</v>
      </c>
      <c r="B164" t="n">
        <v>0.027</v>
      </c>
      <c r="D164" t="n">
        <v>0.05</v>
      </c>
      <c r="E164" t="n">
        <v>0.1</v>
      </c>
    </row>
    <row r="165">
      <c r="A165" t="n">
        <v>-1.56</v>
      </c>
      <c r="B165" t="n">
        <v>0.027</v>
      </c>
      <c r="D165" t="n">
        <v>0.05</v>
      </c>
      <c r="E165" t="n">
        <v>0.1</v>
      </c>
    </row>
    <row r="166">
      <c r="A166" t="n">
        <v>-1.44</v>
      </c>
      <c r="B166" t="n">
        <v>0.027</v>
      </c>
      <c r="D166" t="n">
        <v>0.05</v>
      </c>
      <c r="E166" t="n">
        <v>0.1</v>
      </c>
    </row>
    <row r="167">
      <c r="A167" t="n">
        <v>-1.33</v>
      </c>
      <c r="B167" t="n">
        <v>0.027</v>
      </c>
      <c r="D167" t="n">
        <v>0.05</v>
      </c>
      <c r="E167" t="n">
        <v>0.1</v>
      </c>
    </row>
    <row r="168">
      <c r="A168" t="n">
        <v>-1.23</v>
      </c>
      <c r="B168" t="n">
        <v>0.027</v>
      </c>
      <c r="D168" t="n">
        <v>0.05</v>
      </c>
      <c r="E168" t="n">
        <v>0.1</v>
      </c>
    </row>
    <row r="169">
      <c r="A169" t="n">
        <v>-1.11</v>
      </c>
      <c r="B169" t="n">
        <v>0.027</v>
      </c>
      <c r="D169" t="n">
        <v>0.05</v>
      </c>
      <c r="E169" t="n">
        <v>0.1</v>
      </c>
    </row>
    <row r="170">
      <c r="A170" t="n">
        <v>-0.99</v>
      </c>
      <c r="B170" t="n">
        <v>0.027</v>
      </c>
      <c r="D170" t="n">
        <v>0.05</v>
      </c>
      <c r="E170" t="n">
        <v>0.1</v>
      </c>
    </row>
    <row r="171">
      <c r="A171" t="n">
        <v>-0.87</v>
      </c>
      <c r="B171" t="n">
        <v>0.027</v>
      </c>
      <c r="D171" t="n">
        <v>0.05</v>
      </c>
      <c r="E171" t="n">
        <v>0.1</v>
      </c>
    </row>
    <row r="172">
      <c r="A172" t="n">
        <v>-0.76</v>
      </c>
      <c r="B172" t="n">
        <v>0.027</v>
      </c>
      <c r="D172" t="n">
        <v>0.05</v>
      </c>
      <c r="E172" t="n">
        <v>0.1</v>
      </c>
    </row>
    <row r="173">
      <c r="A173" t="n">
        <v>-0.65</v>
      </c>
      <c r="B173" t="n">
        <v>0.027</v>
      </c>
      <c r="D173" t="n">
        <v>0.05</v>
      </c>
      <c r="E173" t="n">
        <v>0.1</v>
      </c>
    </row>
    <row r="174">
      <c r="A174" t="n">
        <v>-0.54</v>
      </c>
      <c r="B174" t="n">
        <v>0.027</v>
      </c>
      <c r="D174" t="n">
        <v>0.05</v>
      </c>
      <c r="E174" t="n">
        <v>0.1</v>
      </c>
    </row>
    <row r="175">
      <c r="A175" t="n">
        <v>-0.43</v>
      </c>
      <c r="B175" t="n">
        <v>0.027</v>
      </c>
      <c r="D175" t="n">
        <v>0.05</v>
      </c>
      <c r="E175" t="n">
        <v>0.1</v>
      </c>
    </row>
    <row r="176">
      <c r="A176" t="n">
        <v>-0.32</v>
      </c>
      <c r="B176" t="n">
        <v>0.027</v>
      </c>
      <c r="D176" t="n">
        <v>0.05</v>
      </c>
      <c r="E176" t="n">
        <v>0.1</v>
      </c>
    </row>
    <row r="177">
      <c r="A177" t="n">
        <v>-0.21</v>
      </c>
      <c r="B177" t="n">
        <v>0.027</v>
      </c>
      <c r="D177" t="n">
        <v>0.05</v>
      </c>
      <c r="E177" t="n">
        <v>0.1</v>
      </c>
    </row>
    <row r="178">
      <c r="A178" t="n">
        <v>-0.09</v>
      </c>
      <c r="B178" t="n">
        <v>0.027</v>
      </c>
      <c r="D178" t="n">
        <v>0.05</v>
      </c>
      <c r="E178" t="n">
        <v>0.1</v>
      </c>
    </row>
    <row r="179">
      <c r="A179" t="n">
        <v>0.03</v>
      </c>
      <c r="B179" t="n">
        <v>0.07262</v>
      </c>
      <c r="D179" t="n">
        <v>0.05</v>
      </c>
      <c r="E179" t="n">
        <v>0.1</v>
      </c>
    </row>
    <row r="180">
      <c r="A180" t="n">
        <v>0.14</v>
      </c>
      <c r="B180" t="n">
        <v>0.07262</v>
      </c>
      <c r="D180" t="n">
        <v>0.05</v>
      </c>
      <c r="E180" t="n">
        <v>0.1</v>
      </c>
    </row>
    <row r="181">
      <c r="A181" t="n">
        <v>0.26</v>
      </c>
      <c r="B181" t="n">
        <v>0.07262</v>
      </c>
      <c r="D181" t="n">
        <v>0.05</v>
      </c>
      <c r="E181" t="n">
        <v>0.1</v>
      </c>
    </row>
    <row r="182">
      <c r="A182" t="n">
        <v>0.37</v>
      </c>
      <c r="B182" t="n">
        <v>0.07262</v>
      </c>
      <c r="D182" t="n">
        <v>0.05</v>
      </c>
      <c r="E182" t="n">
        <v>0.1</v>
      </c>
    </row>
    <row r="183">
      <c r="A183" t="n">
        <v>0.48</v>
      </c>
      <c r="B183" t="n">
        <v>0.07262</v>
      </c>
      <c r="D183" t="n">
        <v>0.05</v>
      </c>
      <c r="E183" t="n">
        <v>0.1</v>
      </c>
    </row>
    <row r="184">
      <c r="A184" t="n">
        <v>0.6</v>
      </c>
      <c r="B184" t="n">
        <v>0.07262</v>
      </c>
      <c r="C184" t="n">
        <v>0.26958</v>
      </c>
      <c r="D184" t="n">
        <v>0.05</v>
      </c>
      <c r="E184" t="n">
        <v>0.1</v>
      </c>
    </row>
    <row r="185">
      <c r="A185" t="n">
        <v>0.72</v>
      </c>
      <c r="B185" t="n">
        <v>0.07262</v>
      </c>
      <c r="C185" t="n">
        <v>0.26958</v>
      </c>
      <c r="D185" t="n">
        <v>0.05</v>
      </c>
      <c r="E185" t="n">
        <v>0.1</v>
      </c>
    </row>
    <row r="186">
      <c r="A186" t="n">
        <v>0.84</v>
      </c>
      <c r="B186" t="n">
        <v>0.07262</v>
      </c>
      <c r="D186" t="n">
        <v>0.05</v>
      </c>
      <c r="E186" t="n">
        <v>0.1</v>
      </c>
    </row>
    <row r="187">
      <c r="A187" t="n">
        <v>0.97</v>
      </c>
      <c r="B187" t="n">
        <v>0.07262</v>
      </c>
      <c r="D187" t="n">
        <v>0.05</v>
      </c>
      <c r="E187" t="n">
        <v>0.1</v>
      </c>
    </row>
    <row r="188">
      <c r="A188" t="n">
        <v>1.09</v>
      </c>
      <c r="B188" t="n">
        <v>0.07262</v>
      </c>
      <c r="D188" t="n">
        <v>0.05</v>
      </c>
      <c r="E188" t="n">
        <v>0.1</v>
      </c>
    </row>
    <row r="189">
      <c r="A189" t="n">
        <v>1.21</v>
      </c>
      <c r="B189" t="n">
        <v>0.07262</v>
      </c>
      <c r="D189" t="n">
        <v>0.05</v>
      </c>
      <c r="E189" t="n">
        <v>0.1</v>
      </c>
    </row>
    <row r="190">
      <c r="A190" t="n">
        <v>1.31</v>
      </c>
      <c r="B190" t="n">
        <v>0.07262</v>
      </c>
      <c r="D190" t="n">
        <v>0.05</v>
      </c>
      <c r="E190" t="n">
        <v>0.1</v>
      </c>
    </row>
    <row r="191">
      <c r="A191" t="n">
        <v>1.42</v>
      </c>
      <c r="B191" t="n">
        <v>0.07262</v>
      </c>
      <c r="D191" t="n">
        <v>0.05</v>
      </c>
      <c r="E191" t="n">
        <v>0.1</v>
      </c>
    </row>
    <row r="192">
      <c r="A192" t="n">
        <v>1.52</v>
      </c>
      <c r="B192" t="n">
        <v>0.07262</v>
      </c>
      <c r="D192" t="n">
        <v>0.05</v>
      </c>
      <c r="E192" t="n">
        <v>0.1</v>
      </c>
    </row>
    <row r="193">
      <c r="A193" t="n">
        <v>1.65</v>
      </c>
      <c r="B193" t="n">
        <v>0.07262</v>
      </c>
      <c r="D193" t="n">
        <v>0.05</v>
      </c>
      <c r="E193" t="n">
        <v>0.1</v>
      </c>
    </row>
    <row r="194">
      <c r="A194" t="n">
        <v>1.75</v>
      </c>
      <c r="B194" t="n">
        <v>0.07262</v>
      </c>
      <c r="D194" t="n">
        <v>0.05</v>
      </c>
      <c r="E194" t="n">
        <v>0.1</v>
      </c>
    </row>
    <row r="195">
      <c r="A195" t="n">
        <v>1.87</v>
      </c>
      <c r="B195" t="n">
        <v>0.07262</v>
      </c>
      <c r="D195" t="n">
        <v>0.05</v>
      </c>
      <c r="E195" t="n">
        <v>0.1</v>
      </c>
    </row>
    <row r="196">
      <c r="A196" t="n">
        <v>1.99</v>
      </c>
      <c r="B196" t="n">
        <v>0.07262</v>
      </c>
      <c r="D196" t="n">
        <v>0.05</v>
      </c>
      <c r="E196" t="n">
        <v>0.1</v>
      </c>
    </row>
    <row r="197">
      <c r="A197" t="n">
        <v>2.1</v>
      </c>
      <c r="B197" t="n">
        <v>0.07262</v>
      </c>
      <c r="D197" t="n">
        <v>0.05</v>
      </c>
      <c r="E197" t="n">
        <v>0.1</v>
      </c>
    </row>
    <row r="198">
      <c r="A198" t="n">
        <v>2.22</v>
      </c>
      <c r="B198" t="n">
        <v>0.07262</v>
      </c>
      <c r="D198" t="n">
        <v>0.05</v>
      </c>
      <c r="E198" t="n">
        <v>0.1</v>
      </c>
    </row>
    <row r="199">
      <c r="A199" t="n">
        <v>2.33</v>
      </c>
      <c r="B199" t="n">
        <v>0.07262</v>
      </c>
      <c r="D199" t="n">
        <v>0.05</v>
      </c>
      <c r="E199" t="n">
        <v>0.1</v>
      </c>
    </row>
    <row r="200">
      <c r="A200" t="n">
        <v>2.44</v>
      </c>
      <c r="B200" t="n">
        <v>0.07262</v>
      </c>
      <c r="D200" t="n">
        <v>0.05</v>
      </c>
      <c r="E200" t="n">
        <v>0.1</v>
      </c>
    </row>
    <row r="201">
      <c r="A201" t="n">
        <v>2.55</v>
      </c>
      <c r="B201" t="n">
        <v>0.07262</v>
      </c>
      <c r="D201" t="n">
        <v>0.05</v>
      </c>
      <c r="E201" t="n">
        <v>0.1</v>
      </c>
    </row>
    <row r="202">
      <c r="A202" t="n">
        <v>2.66</v>
      </c>
      <c r="B202" t="n">
        <v>0.07262</v>
      </c>
      <c r="D202" t="n">
        <v>0.05</v>
      </c>
      <c r="E202" t="n">
        <v>0.1</v>
      </c>
    </row>
    <row r="203">
      <c r="A203" t="n">
        <v>2.77</v>
      </c>
      <c r="B203" t="n">
        <v>0.07262</v>
      </c>
      <c r="D203" t="n">
        <v>0.05</v>
      </c>
      <c r="E203" t="n">
        <v>0.1</v>
      </c>
    </row>
    <row r="204">
      <c r="A204" t="n">
        <v>2.87</v>
      </c>
      <c r="B204" t="n">
        <v>0.07262</v>
      </c>
      <c r="D204" t="n">
        <v>0.05</v>
      </c>
      <c r="E204" t="n">
        <v>0.1</v>
      </c>
    </row>
    <row r="205">
      <c r="A205" t="n">
        <v>2.98</v>
      </c>
      <c r="B205" t="n">
        <v>0.07262</v>
      </c>
      <c r="D205" t="n">
        <v>0.05</v>
      </c>
      <c r="E205" t="n">
        <v>0.1</v>
      </c>
    </row>
    <row r="206">
      <c r="A206" t="n">
        <v>3.09</v>
      </c>
      <c r="B206" t="n">
        <v>0.07262</v>
      </c>
      <c r="C206" t="n">
        <v>0.26958</v>
      </c>
      <c r="D206" t="n">
        <v>0.05</v>
      </c>
      <c r="E206" t="n">
        <v>0.1</v>
      </c>
    </row>
    <row r="207">
      <c r="A207" t="n">
        <v>3.21</v>
      </c>
      <c r="B207" t="n">
        <v>0.07262</v>
      </c>
      <c r="D207" t="n">
        <v>0.05</v>
      </c>
      <c r="E207" t="n">
        <v>0.1</v>
      </c>
    </row>
    <row r="208">
      <c r="A208" t="n">
        <v>3.32</v>
      </c>
      <c r="B208" t="n">
        <v>0.07262</v>
      </c>
      <c r="D208" t="n">
        <v>0.05</v>
      </c>
      <c r="E208" t="n">
        <v>0.1</v>
      </c>
    </row>
    <row r="209">
      <c r="A209" t="n">
        <v>3.43</v>
      </c>
      <c r="B209" t="n">
        <v>0.07262</v>
      </c>
      <c r="D209" t="n">
        <v>0.05</v>
      </c>
      <c r="E209" t="n">
        <v>0.1</v>
      </c>
    </row>
    <row r="210">
      <c r="A210" t="n">
        <v>3.53</v>
      </c>
      <c r="B210" t="n">
        <v>0.07262</v>
      </c>
      <c r="D210" t="n">
        <v>0.05</v>
      </c>
      <c r="E210" t="n">
        <v>0.1</v>
      </c>
    </row>
    <row r="211">
      <c r="A211" t="n">
        <v>3.65</v>
      </c>
      <c r="B211" t="n">
        <v>0.07262</v>
      </c>
      <c r="D211" t="n">
        <v>0.05</v>
      </c>
      <c r="E211" t="n">
        <v>0.1</v>
      </c>
    </row>
    <row r="212">
      <c r="A212" t="n">
        <v>3.77</v>
      </c>
      <c r="B212" t="n">
        <v>0.07262</v>
      </c>
      <c r="C212" t="n">
        <v>0.26958</v>
      </c>
      <c r="D212" t="n">
        <v>0.05</v>
      </c>
      <c r="E212" t="n">
        <v>0.1</v>
      </c>
    </row>
    <row r="213">
      <c r="A213" t="n">
        <v>3.89</v>
      </c>
      <c r="B213" t="n">
        <v>0.07262</v>
      </c>
      <c r="D213" t="n">
        <v>0.05</v>
      </c>
      <c r="E213" t="n">
        <v>0.1</v>
      </c>
    </row>
    <row r="214">
      <c r="A214" t="n">
        <v>4</v>
      </c>
      <c r="B214" t="n">
        <v>0.07262</v>
      </c>
      <c r="C214" t="n">
        <v>0.26958</v>
      </c>
      <c r="D214" t="n">
        <v>0.05</v>
      </c>
      <c r="E214" t="n">
        <v>0.1</v>
      </c>
    </row>
    <row r="215">
      <c r="A215" t="n">
        <v>4.12</v>
      </c>
      <c r="B215" t="n">
        <v>0.07262</v>
      </c>
      <c r="D215" t="n">
        <v>0.05</v>
      </c>
      <c r="E215" t="n">
        <v>0.1</v>
      </c>
    </row>
    <row r="216">
      <c r="A216" t="n">
        <v>4.23</v>
      </c>
      <c r="B216" t="n">
        <v>0.07262</v>
      </c>
      <c r="D216" t="n">
        <v>0.05</v>
      </c>
      <c r="E216" t="n">
        <v>0.1</v>
      </c>
    </row>
    <row r="217">
      <c r="A217" t="n">
        <v>4.34</v>
      </c>
      <c r="B217" t="n">
        <v>0.07262</v>
      </c>
      <c r="D217" t="n">
        <v>0.05</v>
      </c>
      <c r="E217" t="n">
        <v>0.1</v>
      </c>
    </row>
    <row r="218">
      <c r="A218" t="n">
        <v>4.45</v>
      </c>
      <c r="B218" t="n">
        <v>0.07262</v>
      </c>
      <c r="D218" t="n">
        <v>0.05</v>
      </c>
      <c r="E218" t="n">
        <v>0.1</v>
      </c>
    </row>
    <row r="219">
      <c r="A219" t="n">
        <v>4.55</v>
      </c>
      <c r="B219" t="n">
        <v>0.07262</v>
      </c>
      <c r="C219" t="n">
        <v>0.26958</v>
      </c>
      <c r="D219" t="n">
        <v>0.05</v>
      </c>
      <c r="E219" t="n">
        <v>0.1</v>
      </c>
    </row>
    <row r="220">
      <c r="A220" t="n">
        <v>4.67</v>
      </c>
      <c r="B220" t="n">
        <v>0.07262</v>
      </c>
      <c r="D220" t="n">
        <v>0.05</v>
      </c>
      <c r="E220" t="n">
        <v>0.1</v>
      </c>
    </row>
    <row r="221">
      <c r="A221" t="n">
        <v>4.79</v>
      </c>
      <c r="B221" t="n">
        <v>0.07262</v>
      </c>
      <c r="D221" t="n">
        <v>0.05</v>
      </c>
      <c r="E221" t="n">
        <v>0.1</v>
      </c>
    </row>
    <row r="222">
      <c r="A222" t="n">
        <v>4.89</v>
      </c>
      <c r="B222" t="n">
        <v>0.07262</v>
      </c>
      <c r="D222" t="n">
        <v>0.05</v>
      </c>
      <c r="E222" t="n">
        <v>0.1</v>
      </c>
    </row>
    <row r="223">
      <c r="A223" t="n">
        <v>5.01</v>
      </c>
      <c r="B223" t="n">
        <v>0.07262</v>
      </c>
      <c r="D223" t="n">
        <v>0.05</v>
      </c>
      <c r="E223" t="n">
        <v>0.1</v>
      </c>
    </row>
    <row r="224">
      <c r="A224" t="n">
        <v>5.11</v>
      </c>
      <c r="B224" t="n">
        <v>0.07262</v>
      </c>
      <c r="C224" t="n">
        <v>0.26958</v>
      </c>
      <c r="D224" t="n">
        <v>0.05</v>
      </c>
      <c r="E224" t="n">
        <v>0.1</v>
      </c>
    </row>
    <row r="225">
      <c r="A225" t="n">
        <v>5.23</v>
      </c>
      <c r="B225" t="n">
        <v>0.07262</v>
      </c>
      <c r="C225" t="n">
        <v>0.26958</v>
      </c>
      <c r="D225" t="n">
        <v>0.05</v>
      </c>
      <c r="E225" t="n">
        <v>0.1</v>
      </c>
    </row>
    <row r="226">
      <c r="A226" t="n">
        <v>5.34</v>
      </c>
      <c r="B226" t="n">
        <v>0.07262</v>
      </c>
      <c r="D226" t="n">
        <v>0.05</v>
      </c>
      <c r="E226" t="n">
        <v>0.1</v>
      </c>
    </row>
    <row r="227">
      <c r="A227" t="n">
        <v>5.45</v>
      </c>
      <c r="B227" t="n">
        <v>0.07262</v>
      </c>
      <c r="D227" t="n">
        <v>0.05</v>
      </c>
      <c r="E227" t="n">
        <v>0.1</v>
      </c>
    </row>
    <row r="228">
      <c r="A228" t="n">
        <v>5.56</v>
      </c>
      <c r="B228" t="n">
        <v>0.07262</v>
      </c>
      <c r="D228" t="n">
        <v>0.05</v>
      </c>
      <c r="E228" t="n">
        <v>0.1</v>
      </c>
    </row>
    <row r="229">
      <c r="A229" t="n">
        <v>5.68</v>
      </c>
      <c r="B229" t="n">
        <v>0.07262</v>
      </c>
      <c r="D229" t="n">
        <v>0.05</v>
      </c>
      <c r="E229" t="n">
        <v>0.1</v>
      </c>
    </row>
    <row r="230">
      <c r="A230" t="n">
        <v>5.78</v>
      </c>
      <c r="B230" t="n">
        <v>0.07262</v>
      </c>
      <c r="D230" t="n">
        <v>0.05</v>
      </c>
      <c r="E230" t="n">
        <v>0.1</v>
      </c>
    </row>
    <row r="231">
      <c r="A231" t="n">
        <v>5.9</v>
      </c>
      <c r="B231" t="n">
        <v>0.07262</v>
      </c>
      <c r="D231" t="n">
        <v>0.05</v>
      </c>
      <c r="E231" t="n">
        <v>0.1</v>
      </c>
    </row>
    <row r="232">
      <c r="A232" t="n">
        <v>6.01</v>
      </c>
      <c r="B232" t="n">
        <v>0.07262</v>
      </c>
      <c r="D232" t="n">
        <v>0.05</v>
      </c>
      <c r="E232" t="n">
        <v>0.1</v>
      </c>
    </row>
    <row r="233">
      <c r="A233" t="n">
        <v>6.12</v>
      </c>
      <c r="B233" t="n">
        <v>0.07262</v>
      </c>
      <c r="D233" t="n">
        <v>0.05</v>
      </c>
      <c r="E233" t="n">
        <v>0.1</v>
      </c>
    </row>
    <row r="234">
      <c r="A234" t="n">
        <v>6.23</v>
      </c>
      <c r="B234" t="n">
        <v>0.07262</v>
      </c>
      <c r="D234" t="n">
        <v>0.05</v>
      </c>
      <c r="E234" t="n">
        <v>0.1</v>
      </c>
    </row>
    <row r="235">
      <c r="A235" t="n">
        <v>6.35</v>
      </c>
      <c r="B235" t="n">
        <v>0.07262</v>
      </c>
      <c r="D235" t="n">
        <v>0.05</v>
      </c>
      <c r="E235" t="n">
        <v>0.1</v>
      </c>
    </row>
    <row r="236">
      <c r="A236" t="n">
        <v>6.47</v>
      </c>
      <c r="B236" t="n">
        <v>0.07262</v>
      </c>
      <c r="D236" t="n">
        <v>0.05</v>
      </c>
      <c r="E236" t="n">
        <v>0.1</v>
      </c>
    </row>
    <row r="237">
      <c r="A237" t="n">
        <v>6.57</v>
      </c>
      <c r="B237" t="n">
        <v>0.07262</v>
      </c>
      <c r="D237" t="n">
        <v>0.05</v>
      </c>
      <c r="E237" t="n">
        <v>0.1</v>
      </c>
    </row>
    <row r="238">
      <c r="A238" t="n">
        <v>6.68</v>
      </c>
      <c r="B238" t="n">
        <v>0.07262</v>
      </c>
      <c r="D238" t="n">
        <v>0.05</v>
      </c>
      <c r="E238" t="n">
        <v>0.1</v>
      </c>
    </row>
    <row r="239">
      <c r="A239" t="n">
        <v>6.79</v>
      </c>
      <c r="B239" t="n">
        <v>0.07262</v>
      </c>
      <c r="D239" t="n">
        <v>0.05</v>
      </c>
      <c r="E239" t="n">
        <v>0.1</v>
      </c>
    </row>
    <row r="240">
      <c r="A240" t="n">
        <v>6.91</v>
      </c>
      <c r="B240" t="n">
        <v>0.07262</v>
      </c>
      <c r="D240" t="n">
        <v>0.05</v>
      </c>
      <c r="E240" t="n">
        <v>0.1</v>
      </c>
    </row>
    <row r="241">
      <c r="A241" t="n">
        <v>7.01</v>
      </c>
      <c r="B241" t="n">
        <v>0.07262</v>
      </c>
      <c r="C241" t="n">
        <v>0.26958</v>
      </c>
      <c r="D241" t="n">
        <v>0.05</v>
      </c>
      <c r="E241" t="n">
        <v>0.1</v>
      </c>
    </row>
    <row r="242">
      <c r="A242" t="n">
        <v>7.12</v>
      </c>
      <c r="B242" t="n">
        <v>0.07262</v>
      </c>
      <c r="C242" t="n">
        <v>0.26958</v>
      </c>
      <c r="D242" t="n">
        <v>0.05</v>
      </c>
      <c r="E242" t="n">
        <v>0.1</v>
      </c>
    </row>
    <row r="243">
      <c r="A243" t="n">
        <v>7.23</v>
      </c>
      <c r="B243" t="n">
        <v>0.07262</v>
      </c>
      <c r="C243" t="n">
        <v>0.26958</v>
      </c>
      <c r="D243" t="n">
        <v>0.05</v>
      </c>
      <c r="E243" t="n">
        <v>0.1</v>
      </c>
    </row>
    <row r="244">
      <c r="A244" t="n">
        <v>7.36</v>
      </c>
      <c r="B244" t="n">
        <v>0.07262</v>
      </c>
      <c r="D244" t="n">
        <v>0.05</v>
      </c>
      <c r="E244" t="n">
        <v>0.1</v>
      </c>
    </row>
    <row r="245">
      <c r="A245" t="n">
        <v>7.46</v>
      </c>
      <c r="B245" t="n">
        <v>0.07262</v>
      </c>
      <c r="D245" t="n">
        <v>0.05</v>
      </c>
      <c r="E245" t="n">
        <v>0.1</v>
      </c>
    </row>
    <row r="246">
      <c r="A246" t="n">
        <v>7.56</v>
      </c>
      <c r="B246" t="n">
        <v>0.07262</v>
      </c>
      <c r="C246" t="n">
        <v>0.26958</v>
      </c>
      <c r="D246" t="n">
        <v>0.05</v>
      </c>
      <c r="E246" t="n">
        <v>0.1</v>
      </c>
    </row>
    <row r="247">
      <c r="A247" t="n">
        <v>7.67</v>
      </c>
      <c r="B247" t="n">
        <v>0.07262</v>
      </c>
      <c r="D247" t="n">
        <v>0.05</v>
      </c>
      <c r="E247" t="n">
        <v>0.1</v>
      </c>
    </row>
    <row r="248">
      <c r="A248" t="n">
        <v>7.78</v>
      </c>
      <c r="B248" t="n">
        <v>0.07262</v>
      </c>
      <c r="D248" t="n">
        <v>0.05</v>
      </c>
      <c r="E248" t="n">
        <v>0.1</v>
      </c>
    </row>
    <row r="249">
      <c r="A249" t="n">
        <v>7.9</v>
      </c>
      <c r="B249" t="n">
        <v>0.07262</v>
      </c>
      <c r="D249" t="n">
        <v>0.05</v>
      </c>
      <c r="E249" t="n">
        <v>0.1</v>
      </c>
    </row>
    <row r="250">
      <c r="A250" t="n">
        <v>8</v>
      </c>
      <c r="B250" t="n">
        <v>0.07262</v>
      </c>
      <c r="D250" t="n">
        <v>0.05</v>
      </c>
      <c r="E250" t="n">
        <v>0.1</v>
      </c>
    </row>
    <row r="251">
      <c r="A251" t="n">
        <v>8.109999999999999</v>
      </c>
      <c r="B251" t="n">
        <v>0.07262</v>
      </c>
      <c r="D251" t="n">
        <v>0.05</v>
      </c>
      <c r="E251" t="n">
        <v>0.1</v>
      </c>
    </row>
    <row r="252">
      <c r="A252" t="n">
        <v>8.220000000000001</v>
      </c>
      <c r="B252" t="n">
        <v>0.07262</v>
      </c>
      <c r="D252" t="n">
        <v>0.05</v>
      </c>
      <c r="E252" t="n">
        <v>0.1</v>
      </c>
    </row>
    <row r="253">
      <c r="A253" t="n">
        <v>8.32</v>
      </c>
      <c r="B253" t="n">
        <v>0.07262</v>
      </c>
      <c r="C253" t="n">
        <v>0.26958</v>
      </c>
      <c r="D253" t="n">
        <v>0.05</v>
      </c>
      <c r="E253" t="n">
        <v>0.1</v>
      </c>
    </row>
    <row r="254">
      <c r="A254" t="n">
        <v>8.43</v>
      </c>
      <c r="B254" t="n">
        <v>0.07262</v>
      </c>
      <c r="C254" t="n">
        <v>0.26958</v>
      </c>
      <c r="D254" t="n">
        <v>0.05</v>
      </c>
      <c r="E254" t="n">
        <v>0.1</v>
      </c>
    </row>
    <row r="255">
      <c r="A255" t="n">
        <v>8.539999999999999</v>
      </c>
      <c r="B255" t="n">
        <v>0.07262</v>
      </c>
      <c r="C255" t="n">
        <v>0.26958</v>
      </c>
      <c r="D255" t="n">
        <v>0.05</v>
      </c>
      <c r="E255" t="n">
        <v>0.1</v>
      </c>
    </row>
    <row r="256">
      <c r="A256" t="n">
        <v>8.65</v>
      </c>
      <c r="B256" t="n">
        <v>0.07262</v>
      </c>
      <c r="D256" t="n">
        <v>0.05</v>
      </c>
      <c r="E256" t="n">
        <v>0.1</v>
      </c>
    </row>
    <row r="257">
      <c r="A257" t="n">
        <v>8.77</v>
      </c>
      <c r="B257" t="n">
        <v>0.07262</v>
      </c>
      <c r="C257" t="n">
        <v>0.26958</v>
      </c>
      <c r="D257" t="n">
        <v>0.05</v>
      </c>
      <c r="E257" t="n">
        <v>0.1</v>
      </c>
    </row>
    <row r="258">
      <c r="A258" t="n">
        <v>8.880000000000001</v>
      </c>
      <c r="B258" t="n">
        <v>0.07262</v>
      </c>
      <c r="D258" t="n">
        <v>0.05</v>
      </c>
      <c r="E258" t="n">
        <v>0.1</v>
      </c>
    </row>
    <row r="259">
      <c r="A259" t="n">
        <v>9.039999999999999</v>
      </c>
      <c r="B259" t="n">
        <v>0.07262</v>
      </c>
      <c r="D259" t="n">
        <v>0.05</v>
      </c>
      <c r="E259" t="n">
        <v>0.1</v>
      </c>
    </row>
    <row r="260">
      <c r="A260" t="n">
        <v>9.15</v>
      </c>
      <c r="B260" t="n">
        <v>0.07262</v>
      </c>
      <c r="D260" t="n">
        <v>0.05</v>
      </c>
      <c r="E260" t="n">
        <v>0.1</v>
      </c>
    </row>
    <row r="261">
      <c r="A261" t="n">
        <v>9.27</v>
      </c>
      <c r="B261" t="n">
        <v>0.07262</v>
      </c>
      <c r="C261" t="n">
        <v>0.26958</v>
      </c>
      <c r="D261" t="n">
        <v>0.05</v>
      </c>
      <c r="E261" t="n">
        <v>0.1</v>
      </c>
    </row>
    <row r="262">
      <c r="A262" t="n">
        <v>9.380000000000001</v>
      </c>
      <c r="B262" t="n">
        <v>0.07262</v>
      </c>
      <c r="C262" t="n">
        <v>0.26958</v>
      </c>
      <c r="D262" t="n">
        <v>0.05</v>
      </c>
      <c r="E262" t="n">
        <v>0.1</v>
      </c>
    </row>
    <row r="263">
      <c r="A263" t="n">
        <v>9.48</v>
      </c>
      <c r="B263" t="n">
        <v>0.07262</v>
      </c>
      <c r="C263" t="n">
        <v>0.26958</v>
      </c>
      <c r="D263" t="n">
        <v>0.05</v>
      </c>
      <c r="E263" t="n">
        <v>0.1</v>
      </c>
    </row>
    <row r="264">
      <c r="A264" t="n">
        <v>9.6</v>
      </c>
      <c r="B264" t="n">
        <v>0.07262</v>
      </c>
      <c r="D264" t="n">
        <v>0.05</v>
      </c>
      <c r="E264" t="n">
        <v>0.1</v>
      </c>
    </row>
    <row r="265">
      <c r="A265" t="n">
        <v>9.710000000000001</v>
      </c>
      <c r="B265" t="n">
        <v>0.07262</v>
      </c>
      <c r="D265" t="n">
        <v>0.05</v>
      </c>
      <c r="E265" t="n">
        <v>0.1</v>
      </c>
    </row>
    <row r="266">
      <c r="A266" t="n">
        <v>9.82</v>
      </c>
      <c r="B266" t="n">
        <v>0.07262</v>
      </c>
      <c r="D266" t="n">
        <v>0.05</v>
      </c>
      <c r="E266" t="n">
        <v>0.1</v>
      </c>
    </row>
    <row r="267">
      <c r="A267" t="n">
        <v>9.949999999999999</v>
      </c>
      <c r="B267" t="n">
        <v>0.07262</v>
      </c>
      <c r="D267" t="n">
        <v>0.05</v>
      </c>
      <c r="E267" t="n">
        <v>0.1</v>
      </c>
    </row>
    <row r="268">
      <c r="A268" t="n">
        <v>10.09</v>
      </c>
      <c r="B268" t="n">
        <v>0.07262</v>
      </c>
      <c r="D268" t="n">
        <v>0.05</v>
      </c>
      <c r="E268" t="n">
        <v>0.1</v>
      </c>
    </row>
    <row r="269">
      <c r="A269" t="n">
        <v>10.21</v>
      </c>
      <c r="B269" t="n">
        <v>0.07262</v>
      </c>
      <c r="D269" t="n">
        <v>0.05</v>
      </c>
      <c r="E269" t="n">
        <v>0.1</v>
      </c>
    </row>
    <row r="270">
      <c r="A270" t="n">
        <v>10.32</v>
      </c>
      <c r="B270" t="n">
        <v>0.07262</v>
      </c>
      <c r="D270" t="n">
        <v>0.05</v>
      </c>
      <c r="E270" t="n">
        <v>0.1</v>
      </c>
    </row>
    <row r="271">
      <c r="A271" t="n">
        <v>10.44</v>
      </c>
      <c r="B271" t="n">
        <v>0.07262</v>
      </c>
      <c r="D271" t="n">
        <v>0.05</v>
      </c>
      <c r="E271" t="n">
        <v>0.1</v>
      </c>
    </row>
    <row r="272">
      <c r="A272" t="n">
        <v>10.55</v>
      </c>
      <c r="B272" t="n">
        <v>0.07262</v>
      </c>
      <c r="D272" t="n">
        <v>0.05</v>
      </c>
      <c r="E272" t="n">
        <v>0.1</v>
      </c>
    </row>
    <row r="273">
      <c r="A273" t="n">
        <v>10.67</v>
      </c>
      <c r="B273" t="n">
        <v>0.07262</v>
      </c>
      <c r="C273" t="n">
        <v>0.26958</v>
      </c>
      <c r="D273" t="n">
        <v>0.05</v>
      </c>
      <c r="E273" t="n">
        <v>0.1</v>
      </c>
    </row>
    <row r="274">
      <c r="A274" t="n">
        <v>10.78</v>
      </c>
      <c r="B274" t="n">
        <v>0.07262</v>
      </c>
      <c r="C274" t="n">
        <v>0.26958</v>
      </c>
      <c r="D274" t="n">
        <v>0.05</v>
      </c>
      <c r="E274" t="n">
        <v>0.1</v>
      </c>
    </row>
    <row r="275">
      <c r="A275" t="n">
        <v>10.89</v>
      </c>
      <c r="B275" t="n">
        <v>0.07262</v>
      </c>
      <c r="D275" t="n">
        <v>0.05</v>
      </c>
      <c r="E275" t="n">
        <v>0.1</v>
      </c>
    </row>
    <row r="276">
      <c r="A276" t="n">
        <v>11.02</v>
      </c>
      <c r="B276" t="n">
        <v>0.07262</v>
      </c>
      <c r="C276" t="n">
        <v>0.26958</v>
      </c>
      <c r="D276" t="n">
        <v>0.05</v>
      </c>
      <c r="E276" t="n">
        <v>0.1</v>
      </c>
    </row>
    <row r="277">
      <c r="A277" t="n">
        <v>11.12</v>
      </c>
      <c r="B277" t="n">
        <v>0.07262</v>
      </c>
      <c r="D277" t="n">
        <v>0.05</v>
      </c>
      <c r="E277" t="n">
        <v>0.1</v>
      </c>
    </row>
    <row r="278">
      <c r="A278" t="n">
        <v>11.24</v>
      </c>
      <c r="B278" t="n">
        <v>0.07262</v>
      </c>
      <c r="C278" t="n">
        <v>0.26958</v>
      </c>
      <c r="D278" t="n">
        <v>0.05</v>
      </c>
      <c r="E278" t="n">
        <v>0.1</v>
      </c>
    </row>
    <row r="279">
      <c r="A279" t="n">
        <v>11.35</v>
      </c>
      <c r="B279" t="n">
        <v>0.07262</v>
      </c>
      <c r="D279" t="n">
        <v>0.05</v>
      </c>
      <c r="E279" t="n">
        <v>0.1</v>
      </c>
    </row>
    <row r="280">
      <c r="A280" t="n">
        <v>11.46</v>
      </c>
      <c r="B280" t="n">
        <v>0.07262</v>
      </c>
      <c r="C280" t="n">
        <v>0.26958</v>
      </c>
      <c r="D280" t="n">
        <v>0.05</v>
      </c>
      <c r="E280" t="n">
        <v>0.1</v>
      </c>
    </row>
    <row r="281">
      <c r="A281" t="n">
        <v>11.56</v>
      </c>
      <c r="B281" t="n">
        <v>0.07262</v>
      </c>
      <c r="D281" t="n">
        <v>0.05</v>
      </c>
      <c r="E281" t="n">
        <v>0.1</v>
      </c>
    </row>
    <row r="282">
      <c r="A282" t="n">
        <v>11.67</v>
      </c>
      <c r="B282" t="n">
        <v>0.07262</v>
      </c>
      <c r="D282" t="n">
        <v>0.05</v>
      </c>
      <c r="E282" t="n">
        <v>0.1</v>
      </c>
    </row>
    <row r="283">
      <c r="A283" t="n">
        <v>11.79</v>
      </c>
      <c r="B283" t="n">
        <v>0.07262</v>
      </c>
      <c r="D283" t="n">
        <v>0.05</v>
      </c>
      <c r="E283" t="n">
        <v>0.1</v>
      </c>
    </row>
    <row r="284">
      <c r="A284" t="n">
        <v>11.89</v>
      </c>
      <c r="B284" t="n">
        <v>0.07262</v>
      </c>
      <c r="D284" t="n">
        <v>0.05</v>
      </c>
      <c r="E284" t="n">
        <v>0.1</v>
      </c>
    </row>
    <row r="285">
      <c r="A285" t="n">
        <v>11.99</v>
      </c>
      <c r="B285" t="n">
        <v>0.07262</v>
      </c>
      <c r="D285" t="n">
        <v>0.05</v>
      </c>
      <c r="E285" t="n">
        <v>0.1</v>
      </c>
    </row>
    <row r="286">
      <c r="A286" t="n">
        <v>12.09</v>
      </c>
      <c r="B286" t="n">
        <v>0.07262</v>
      </c>
      <c r="D286" t="n">
        <v>0.05</v>
      </c>
      <c r="E286" t="n">
        <v>0.1</v>
      </c>
    </row>
    <row r="287">
      <c r="A287" t="n">
        <v>12.21</v>
      </c>
      <c r="B287" t="n">
        <v>0.07262</v>
      </c>
      <c r="D287" t="n">
        <v>0.05</v>
      </c>
      <c r="E287" t="n">
        <v>0.1</v>
      </c>
    </row>
    <row r="288">
      <c r="A288" t="n">
        <v>12.31</v>
      </c>
      <c r="B288" t="n">
        <v>0.07262</v>
      </c>
      <c r="D288" t="n">
        <v>0.05</v>
      </c>
      <c r="E288" t="n">
        <v>0.1</v>
      </c>
    </row>
    <row r="289">
      <c r="A289" t="n">
        <v>12.42</v>
      </c>
      <c r="B289" t="n">
        <v>0.07262</v>
      </c>
      <c r="D289" t="n">
        <v>0.05</v>
      </c>
      <c r="E289" t="n">
        <v>0.1</v>
      </c>
    </row>
    <row r="290">
      <c r="A290" t="n">
        <v>12.54</v>
      </c>
      <c r="B290" t="n">
        <v>0.07262</v>
      </c>
      <c r="D290" t="n">
        <v>0.05</v>
      </c>
      <c r="E290" t="n">
        <v>0.1</v>
      </c>
    </row>
    <row r="291">
      <c r="A291" t="n">
        <v>12.64</v>
      </c>
      <c r="B291" t="n">
        <v>0.07262</v>
      </c>
      <c r="D291" t="n">
        <v>0.05</v>
      </c>
      <c r="E291" t="n">
        <v>0.1</v>
      </c>
    </row>
    <row r="292">
      <c r="A292" t="n">
        <v>12.75</v>
      </c>
      <c r="B292" t="n">
        <v>0.07262</v>
      </c>
      <c r="C292" t="n">
        <v>0.26958</v>
      </c>
      <c r="D292" t="n">
        <v>0.05</v>
      </c>
      <c r="E292" t="n">
        <v>0.1</v>
      </c>
    </row>
    <row r="293">
      <c r="A293" t="n">
        <v>12.85</v>
      </c>
      <c r="B293" t="n">
        <v>0.07262</v>
      </c>
      <c r="C293" t="n">
        <v>0.26958</v>
      </c>
      <c r="D293" t="n">
        <v>0.05</v>
      </c>
      <c r="E293" t="n">
        <v>0.1</v>
      </c>
    </row>
    <row r="294">
      <c r="A294" t="n">
        <v>12.98</v>
      </c>
      <c r="B294" t="n">
        <v>0.07262</v>
      </c>
      <c r="D294" t="n">
        <v>0.05</v>
      </c>
      <c r="E294" t="n">
        <v>0.1</v>
      </c>
    </row>
    <row r="295">
      <c r="A295" t="n">
        <v>13.09</v>
      </c>
      <c r="B295" t="n">
        <v>0.07262</v>
      </c>
      <c r="D295" t="n">
        <v>0.05</v>
      </c>
      <c r="E295" t="n">
        <v>0.1</v>
      </c>
    </row>
    <row r="296">
      <c r="A296" t="n">
        <v>13.21</v>
      </c>
      <c r="B296" t="n">
        <v>0.07262</v>
      </c>
      <c r="D296" t="n">
        <v>0.05</v>
      </c>
      <c r="E296" t="n">
        <v>0.1</v>
      </c>
    </row>
    <row r="297">
      <c r="A297" t="n">
        <v>13.32</v>
      </c>
      <c r="B297" t="n">
        <v>0.07262</v>
      </c>
      <c r="D297" t="n">
        <v>0.05</v>
      </c>
      <c r="E297" t="n">
        <v>0.1</v>
      </c>
    </row>
    <row r="298">
      <c r="A298" t="n">
        <v>13.43</v>
      </c>
      <c r="B298" t="n">
        <v>0.07262</v>
      </c>
      <c r="D298" t="n">
        <v>0.05</v>
      </c>
      <c r="E298" t="n">
        <v>0.1</v>
      </c>
    </row>
    <row r="299">
      <c r="A299" t="n">
        <v>13.56</v>
      </c>
      <c r="B299" t="n">
        <v>0.07262</v>
      </c>
      <c r="D299" t="n">
        <v>0.05</v>
      </c>
      <c r="E299" t="n">
        <v>0.1</v>
      </c>
    </row>
    <row r="300">
      <c r="A300" t="n">
        <v>13.67</v>
      </c>
      <c r="B300" t="n">
        <v>0.07262</v>
      </c>
      <c r="C300" t="n">
        <v>0.26958</v>
      </c>
      <c r="D300" t="n">
        <v>0.05</v>
      </c>
      <c r="E300" t="n">
        <v>0.1</v>
      </c>
    </row>
    <row r="301">
      <c r="A301" t="n">
        <v>13.79</v>
      </c>
      <c r="B301" t="n">
        <v>0.07262</v>
      </c>
      <c r="D301" t="n">
        <v>0.05</v>
      </c>
      <c r="E301" t="n">
        <v>0.1</v>
      </c>
    </row>
    <row r="302">
      <c r="A302" t="n">
        <v>13.89</v>
      </c>
      <c r="B302" t="n">
        <v>0.07262</v>
      </c>
      <c r="C302" t="n">
        <v>0.26958</v>
      </c>
      <c r="D302" t="n">
        <v>0.05</v>
      </c>
      <c r="E302" t="n">
        <v>0.1</v>
      </c>
    </row>
    <row r="303">
      <c r="A303" t="n">
        <v>14.01</v>
      </c>
      <c r="B303" t="n">
        <v>0.07262</v>
      </c>
      <c r="C303" t="n">
        <v>0.26958</v>
      </c>
      <c r="D303" t="n">
        <v>0.05</v>
      </c>
      <c r="E303" t="n">
        <v>0.1</v>
      </c>
    </row>
    <row r="304">
      <c r="A304" t="n">
        <v>14.12</v>
      </c>
      <c r="B304" t="n">
        <v>0.07262</v>
      </c>
      <c r="C304" t="n">
        <v>0.26958</v>
      </c>
      <c r="D304" t="n">
        <v>0.05</v>
      </c>
      <c r="E304" t="n">
        <v>0.1</v>
      </c>
    </row>
    <row r="305">
      <c r="A305" t="n">
        <v>14.23</v>
      </c>
      <c r="B305" t="n">
        <v>0.07262</v>
      </c>
      <c r="C305" t="n">
        <v>0.26958</v>
      </c>
      <c r="D305" t="n">
        <v>0.05</v>
      </c>
      <c r="E305" t="n">
        <v>0.1</v>
      </c>
    </row>
    <row r="306">
      <c r="A306" t="n">
        <v>14.34</v>
      </c>
      <c r="B306" t="n">
        <v>0.07262</v>
      </c>
      <c r="D306" t="n">
        <v>0.05</v>
      </c>
      <c r="E306" t="n">
        <v>0.1</v>
      </c>
    </row>
    <row r="307">
      <c r="A307" t="n">
        <v>14.45</v>
      </c>
      <c r="B307" t="n">
        <v>0.07262</v>
      </c>
      <c r="C307" t="n">
        <v>0.26958</v>
      </c>
      <c r="D307" t="n">
        <v>0.05</v>
      </c>
      <c r="E307" t="n">
        <v>0.1</v>
      </c>
    </row>
    <row r="308">
      <c r="A308" t="n">
        <v>14.56</v>
      </c>
      <c r="B308" t="n">
        <v>0.07262</v>
      </c>
      <c r="C308" t="n">
        <v>0.26958</v>
      </c>
      <c r="D308" t="n">
        <v>0.05</v>
      </c>
      <c r="E308" t="n">
        <v>0.1</v>
      </c>
    </row>
    <row r="309">
      <c r="A309" t="n">
        <v>14.68</v>
      </c>
      <c r="B309" t="n">
        <v>0.07262</v>
      </c>
      <c r="D309" t="n">
        <v>0.05</v>
      </c>
      <c r="E309" t="n">
        <v>0.1</v>
      </c>
    </row>
    <row r="310">
      <c r="A310" t="n">
        <v>14.8</v>
      </c>
      <c r="B310" t="n">
        <v>0.07262</v>
      </c>
      <c r="D310" t="n">
        <v>0.05</v>
      </c>
      <c r="E310" t="n">
        <v>0.1</v>
      </c>
    </row>
    <row r="311">
      <c r="A311" t="n">
        <v>14.91</v>
      </c>
      <c r="B311" t="n">
        <v>0.07262</v>
      </c>
      <c r="D311" t="n">
        <v>0.05</v>
      </c>
      <c r="E311" t="n">
        <v>0.1</v>
      </c>
    </row>
    <row r="312">
      <c r="A312" t="n">
        <v>15.03</v>
      </c>
      <c r="B312" t="n">
        <v>0.07262</v>
      </c>
      <c r="D312" t="n">
        <v>0.05</v>
      </c>
      <c r="E312" t="n">
        <v>0.1</v>
      </c>
    </row>
    <row r="313">
      <c r="A313" t="n">
        <v>15.14</v>
      </c>
      <c r="B313" t="n">
        <v>0.07262</v>
      </c>
      <c r="D313" t="n">
        <v>0.05</v>
      </c>
      <c r="E313" t="n">
        <v>0.1</v>
      </c>
    </row>
    <row r="314">
      <c r="A314" t="n">
        <v>15.25</v>
      </c>
      <c r="B314" t="n">
        <v>0.07262</v>
      </c>
      <c r="C314" t="n">
        <v>0.26958</v>
      </c>
      <c r="D314" t="n">
        <v>0.05</v>
      </c>
      <c r="E314" t="n">
        <v>0.1</v>
      </c>
    </row>
    <row r="315">
      <c r="A315" t="n">
        <v>15.36</v>
      </c>
      <c r="B315" t="n">
        <v>0.07262</v>
      </c>
      <c r="D315" t="n">
        <v>0.05</v>
      </c>
      <c r="E315" t="n">
        <v>0.1</v>
      </c>
    </row>
    <row r="316">
      <c r="A316" t="n">
        <v>15.48</v>
      </c>
      <c r="B316" t="n">
        <v>0.07262</v>
      </c>
      <c r="D316" t="n">
        <v>0.05</v>
      </c>
      <c r="E316" t="n">
        <v>0.1</v>
      </c>
    </row>
    <row r="317">
      <c r="A317" t="n">
        <v>15.59</v>
      </c>
      <c r="B317" t="n">
        <v>0.07262</v>
      </c>
      <c r="D317" t="n">
        <v>0.05</v>
      </c>
      <c r="E317" t="n">
        <v>0.1</v>
      </c>
    </row>
    <row r="318">
      <c r="A318" t="n">
        <v>15.7</v>
      </c>
      <c r="B318" t="n">
        <v>0.07262</v>
      </c>
      <c r="C318" t="n">
        <v>0.26958</v>
      </c>
      <c r="D318" t="n">
        <v>0.05</v>
      </c>
      <c r="E318" t="n">
        <v>0.1</v>
      </c>
    </row>
    <row r="319">
      <c r="A319" t="n">
        <v>15.81</v>
      </c>
      <c r="B319" t="n">
        <v>0.07262</v>
      </c>
      <c r="D319" t="n">
        <v>0.05</v>
      </c>
      <c r="E319" t="n">
        <v>0.1</v>
      </c>
    </row>
    <row r="320">
      <c r="A320" t="n">
        <v>15.92</v>
      </c>
      <c r="B320" t="n">
        <v>0.07262</v>
      </c>
      <c r="D320" t="n">
        <v>0.05</v>
      </c>
      <c r="E320" t="n">
        <v>0.1</v>
      </c>
    </row>
    <row r="321">
      <c r="A321" t="n">
        <v>16.03</v>
      </c>
      <c r="B321" t="n">
        <v>0.07262</v>
      </c>
      <c r="D321" t="n">
        <v>0.05</v>
      </c>
      <c r="E321" t="n">
        <v>0.1</v>
      </c>
    </row>
    <row r="322">
      <c r="A322" t="n">
        <v>16.15</v>
      </c>
      <c r="B322" t="n">
        <v>0.07262</v>
      </c>
      <c r="C322" t="n">
        <v>0.26958</v>
      </c>
      <c r="D322" t="n">
        <v>0.05</v>
      </c>
      <c r="E322" t="n">
        <v>0.1</v>
      </c>
    </row>
    <row r="323">
      <c r="A323" t="n">
        <v>16.26</v>
      </c>
      <c r="B323" t="n">
        <v>0.07262</v>
      </c>
      <c r="D323" t="n">
        <v>0.05</v>
      </c>
      <c r="E323" t="n">
        <v>0.1</v>
      </c>
    </row>
    <row r="324">
      <c r="A324" t="n">
        <v>16.38</v>
      </c>
      <c r="B324" t="n">
        <v>0.07262</v>
      </c>
      <c r="D324" t="n">
        <v>0.05</v>
      </c>
      <c r="E324" t="n">
        <v>0.1</v>
      </c>
    </row>
    <row r="325">
      <c r="A325" t="n">
        <v>16.5</v>
      </c>
      <c r="B325" t="n">
        <v>0.07262</v>
      </c>
      <c r="C325" t="n">
        <v>0.26958</v>
      </c>
      <c r="D325" t="n">
        <v>0.05</v>
      </c>
      <c r="E325" t="n">
        <v>0.1</v>
      </c>
    </row>
    <row r="326">
      <c r="A326" t="n">
        <v>16.63</v>
      </c>
      <c r="B326" t="n">
        <v>0.07262</v>
      </c>
      <c r="D326" t="n">
        <v>0.05</v>
      </c>
      <c r="E326" t="n">
        <v>0.1</v>
      </c>
    </row>
    <row r="327">
      <c r="A327" t="n">
        <v>16.75</v>
      </c>
      <c r="B327" t="n">
        <v>0.07262</v>
      </c>
      <c r="D327" t="n">
        <v>0.05</v>
      </c>
      <c r="E327" t="n">
        <v>0.1</v>
      </c>
    </row>
    <row r="328">
      <c r="A328" t="n">
        <v>16.87</v>
      </c>
      <c r="B328" t="n">
        <v>0.07262</v>
      </c>
      <c r="D328" t="n">
        <v>0.05</v>
      </c>
      <c r="E328" t="n">
        <v>0.1</v>
      </c>
    </row>
    <row r="329">
      <c r="A329" t="n">
        <v>16.99</v>
      </c>
      <c r="B329" t="n">
        <v>0.07262</v>
      </c>
      <c r="D329" t="n">
        <v>0.05</v>
      </c>
      <c r="E329" t="n">
        <v>0.1</v>
      </c>
    </row>
    <row r="330">
      <c r="A330" t="n">
        <v>17.09</v>
      </c>
      <c r="B330" t="n">
        <v>0.07262</v>
      </c>
      <c r="D330" t="n">
        <v>0.05</v>
      </c>
      <c r="E330" t="n">
        <v>0.1</v>
      </c>
    </row>
    <row r="331">
      <c r="A331" t="n">
        <v>17.2</v>
      </c>
      <c r="B331" t="n">
        <v>0.07262</v>
      </c>
      <c r="D331" t="n">
        <v>0.05</v>
      </c>
      <c r="E331" t="n">
        <v>0.1</v>
      </c>
    </row>
    <row r="332">
      <c r="A332" t="n">
        <v>17.31</v>
      </c>
      <c r="B332" t="n">
        <v>0.07262</v>
      </c>
      <c r="D332" t="n">
        <v>0.05</v>
      </c>
      <c r="E332" t="n">
        <v>0.1</v>
      </c>
    </row>
    <row r="333">
      <c r="A333" t="n">
        <v>17.43</v>
      </c>
      <c r="B333" t="n">
        <v>0.07262</v>
      </c>
      <c r="D333" t="n">
        <v>0.05</v>
      </c>
      <c r="E333" t="n">
        <v>0.1</v>
      </c>
    </row>
    <row r="334">
      <c r="A334" t="n">
        <v>17.53</v>
      </c>
      <c r="B334" t="n">
        <v>0.07262</v>
      </c>
      <c r="D334" t="n">
        <v>0.05</v>
      </c>
      <c r="E334" t="n">
        <v>0.1</v>
      </c>
    </row>
    <row r="335">
      <c r="A335" t="n">
        <v>17.64</v>
      </c>
      <c r="B335" t="n">
        <v>0.07262</v>
      </c>
      <c r="D335" t="n">
        <v>0.05</v>
      </c>
      <c r="E335" t="n">
        <v>0.1</v>
      </c>
    </row>
    <row r="336">
      <c r="A336" t="n">
        <v>17.76</v>
      </c>
      <c r="B336" t="n">
        <v>0.07262</v>
      </c>
      <c r="D336" t="n">
        <v>0.05</v>
      </c>
      <c r="E336" t="n">
        <v>0.1</v>
      </c>
    </row>
    <row r="337">
      <c r="A337" t="n">
        <v>17.87</v>
      </c>
      <c r="B337" t="n">
        <v>0.07262</v>
      </c>
      <c r="D337" t="n">
        <v>0.05</v>
      </c>
      <c r="E337" t="n">
        <v>0.1</v>
      </c>
    </row>
    <row r="338">
      <c r="A338" t="n">
        <v>17.99</v>
      </c>
      <c r="B338" t="n">
        <v>0.07262</v>
      </c>
      <c r="D338" t="n">
        <v>0.05</v>
      </c>
      <c r="E338" t="n">
        <v>0.1</v>
      </c>
    </row>
    <row r="339">
      <c r="A339" t="n">
        <v>18.11</v>
      </c>
      <c r="B339" t="n">
        <v>0.07262</v>
      </c>
      <c r="D339" t="n">
        <v>0.05</v>
      </c>
      <c r="E339" t="n">
        <v>0.1</v>
      </c>
    </row>
    <row r="340">
      <c r="A340" t="n">
        <v>18.22</v>
      </c>
      <c r="B340" t="n">
        <v>0.07262</v>
      </c>
      <c r="D340" t="n">
        <v>0.05</v>
      </c>
      <c r="E340" t="n">
        <v>0.1</v>
      </c>
    </row>
    <row r="341">
      <c r="A341" t="n">
        <v>18.34</v>
      </c>
      <c r="B341" t="n">
        <v>0.07262</v>
      </c>
      <c r="D341" t="n">
        <v>0.05</v>
      </c>
      <c r="E341" t="n">
        <v>0.1</v>
      </c>
    </row>
    <row r="342">
      <c r="A342" t="n">
        <v>18.47</v>
      </c>
      <c r="B342" t="n">
        <v>0.07262</v>
      </c>
      <c r="D342" t="n">
        <v>0.05</v>
      </c>
      <c r="E342" t="n">
        <v>0.1</v>
      </c>
    </row>
    <row r="343">
      <c r="A343" t="n">
        <v>18.58</v>
      </c>
      <c r="B343" t="n">
        <v>0.07262</v>
      </c>
      <c r="C343" t="n">
        <v>0.26958</v>
      </c>
      <c r="D343" t="n">
        <v>0.05</v>
      </c>
      <c r="E343" t="n">
        <v>0.1</v>
      </c>
    </row>
    <row r="344">
      <c r="A344" t="n">
        <v>18.69</v>
      </c>
      <c r="B344" t="n">
        <v>0.07262</v>
      </c>
      <c r="D344" t="n">
        <v>0.05</v>
      </c>
      <c r="E344" t="n">
        <v>0.1</v>
      </c>
    </row>
    <row r="345">
      <c r="A345" t="n">
        <v>18.81</v>
      </c>
      <c r="B345" t="n">
        <v>0.07262</v>
      </c>
      <c r="D345" t="n">
        <v>0.05</v>
      </c>
      <c r="E345" t="n">
        <v>0.1</v>
      </c>
    </row>
    <row r="346">
      <c r="A346" t="n">
        <v>18.91</v>
      </c>
      <c r="B346" t="n">
        <v>0.07262</v>
      </c>
      <c r="D346" t="n">
        <v>0.05</v>
      </c>
      <c r="E346" t="n">
        <v>0.1</v>
      </c>
    </row>
    <row r="347">
      <c r="A347" t="n">
        <v>19.02</v>
      </c>
      <c r="B347" t="n">
        <v>0.07262</v>
      </c>
      <c r="D347" t="n">
        <v>0.05</v>
      </c>
      <c r="E347" t="n">
        <v>0.1</v>
      </c>
    </row>
    <row r="348">
      <c r="A348" t="n">
        <v>19.13</v>
      </c>
      <c r="B348" t="n">
        <v>0.07262</v>
      </c>
      <c r="D348" t="n">
        <v>0.05</v>
      </c>
      <c r="E348" t="n">
        <v>0.1</v>
      </c>
    </row>
    <row r="349">
      <c r="A349" t="n">
        <v>19.24</v>
      </c>
      <c r="B349" t="n">
        <v>0.07262</v>
      </c>
      <c r="D349" t="n">
        <v>0.05</v>
      </c>
      <c r="E349" t="n">
        <v>0.1</v>
      </c>
    </row>
    <row r="350">
      <c r="A350" t="n">
        <v>19.36</v>
      </c>
      <c r="B350" t="n">
        <v>0.07262</v>
      </c>
      <c r="D350" t="n">
        <v>0.05</v>
      </c>
      <c r="E350" t="n">
        <v>0.1</v>
      </c>
    </row>
    <row r="351">
      <c r="A351" t="n">
        <v>19.48</v>
      </c>
      <c r="B351" t="n">
        <v>0.07262</v>
      </c>
      <c r="C351" t="n">
        <v>0.26958</v>
      </c>
      <c r="D351" t="n">
        <v>0.05</v>
      </c>
      <c r="E351" t="n">
        <v>0.1</v>
      </c>
    </row>
    <row r="352">
      <c r="A352" t="n">
        <v>19.58</v>
      </c>
      <c r="B352" t="n">
        <v>0.07262</v>
      </c>
      <c r="D352" t="n">
        <v>0.05</v>
      </c>
      <c r="E352" t="n">
        <v>0.1</v>
      </c>
    </row>
    <row r="353">
      <c r="A353" t="n">
        <v>19.69</v>
      </c>
      <c r="B353" t="n">
        <v>0.07262</v>
      </c>
      <c r="D353" t="n">
        <v>0.05</v>
      </c>
      <c r="E353" t="n">
        <v>0.1</v>
      </c>
    </row>
    <row r="354">
      <c r="A354" t="n">
        <v>19.82</v>
      </c>
      <c r="B354" t="n">
        <v>0.07262</v>
      </c>
      <c r="C354" t="n">
        <v>0.26958</v>
      </c>
      <c r="D354" t="n">
        <v>0.05</v>
      </c>
      <c r="E354" t="n">
        <v>0.1</v>
      </c>
    </row>
    <row r="355">
      <c r="A355" t="n">
        <v>19.94</v>
      </c>
      <c r="B355" t="n">
        <v>0.07262</v>
      </c>
      <c r="D355" t="n">
        <v>0.05</v>
      </c>
      <c r="E355" t="n">
        <v>0.1</v>
      </c>
    </row>
    <row r="356">
      <c r="A356" t="n">
        <v>20.05</v>
      </c>
      <c r="B356" t="n">
        <v>0.07262</v>
      </c>
      <c r="D356" t="n">
        <v>0.05</v>
      </c>
      <c r="E356" t="n">
        <v>0.1</v>
      </c>
    </row>
    <row r="357">
      <c r="A357" t="n">
        <v>20.16</v>
      </c>
      <c r="B357" t="n">
        <v>0.07262</v>
      </c>
      <c r="D357" t="n">
        <v>0.05</v>
      </c>
      <c r="E357" t="n">
        <v>0.1</v>
      </c>
    </row>
    <row r="358">
      <c r="A358" t="n">
        <v>20.27</v>
      </c>
      <c r="B358" t="n">
        <v>0.07262</v>
      </c>
      <c r="D358" t="n">
        <v>0.05</v>
      </c>
      <c r="E358" t="n">
        <v>0.1</v>
      </c>
    </row>
    <row r="359">
      <c r="A359" t="n">
        <v>20.38</v>
      </c>
      <c r="B359" t="n">
        <v>0.07262</v>
      </c>
      <c r="D359" t="n">
        <v>0.05</v>
      </c>
      <c r="E359" t="n">
        <v>0.1</v>
      </c>
    </row>
    <row r="360">
      <c r="A360" t="n">
        <v>20.49</v>
      </c>
      <c r="B360" t="n">
        <v>0.07262</v>
      </c>
      <c r="D360" t="n">
        <v>0.05</v>
      </c>
      <c r="E360" t="n">
        <v>0.1</v>
      </c>
    </row>
    <row r="361">
      <c r="A361" t="n">
        <v>20.6</v>
      </c>
      <c r="B361" t="n">
        <v>0.07262</v>
      </c>
      <c r="D361" t="n">
        <v>0.05</v>
      </c>
      <c r="E361" t="n">
        <v>0.1</v>
      </c>
    </row>
    <row r="362">
      <c r="A362" t="n">
        <v>20.72</v>
      </c>
      <c r="B362" t="n">
        <v>0.07262</v>
      </c>
      <c r="C362" t="n">
        <v>0.26958</v>
      </c>
      <c r="D362" t="n">
        <v>0.05</v>
      </c>
      <c r="E362" t="n">
        <v>0.1</v>
      </c>
    </row>
    <row r="363">
      <c r="A363" t="n">
        <v>20.83</v>
      </c>
      <c r="B363" t="n">
        <v>0.07262</v>
      </c>
      <c r="D363" t="n">
        <v>0.05</v>
      </c>
      <c r="E363" t="n">
        <v>0.1</v>
      </c>
    </row>
    <row r="364">
      <c r="A364" t="n">
        <v>20.95</v>
      </c>
      <c r="B364" t="n">
        <v>0.07262</v>
      </c>
      <c r="D364" t="n">
        <v>0.05</v>
      </c>
      <c r="E364" t="n">
        <v>0.1</v>
      </c>
    </row>
    <row r="365">
      <c r="A365" t="n">
        <v>21.08</v>
      </c>
      <c r="B365" t="n">
        <v>0.07262</v>
      </c>
      <c r="D365" t="n">
        <v>0.05</v>
      </c>
      <c r="E365" t="n">
        <v>0.1</v>
      </c>
    </row>
    <row r="366">
      <c r="A366" t="n">
        <v>21.19</v>
      </c>
      <c r="B366" t="n">
        <v>0.07262</v>
      </c>
      <c r="D366" t="n">
        <v>0.05</v>
      </c>
      <c r="E366" t="n">
        <v>0.1</v>
      </c>
    </row>
    <row r="367">
      <c r="A367" t="n">
        <v>21.3</v>
      </c>
      <c r="B367" t="n">
        <v>0.07262</v>
      </c>
      <c r="D367" t="n">
        <v>0.05</v>
      </c>
      <c r="E367" t="n">
        <v>0.1</v>
      </c>
    </row>
    <row r="368">
      <c r="A368" t="n">
        <v>21.42</v>
      </c>
      <c r="B368" t="n">
        <v>0.07262</v>
      </c>
      <c r="D368" t="n">
        <v>0.05</v>
      </c>
      <c r="E368" t="n">
        <v>0.1</v>
      </c>
    </row>
    <row r="369">
      <c r="A369" t="n">
        <v>21.53</v>
      </c>
      <c r="B369" t="n">
        <v>0.07262</v>
      </c>
      <c r="D369" t="n">
        <v>0.05</v>
      </c>
      <c r="E369" t="n">
        <v>0.1</v>
      </c>
    </row>
    <row r="370">
      <c r="A370" t="n">
        <v>21.65</v>
      </c>
      <c r="B370" t="n">
        <v>0.07262</v>
      </c>
      <c r="D370" t="n">
        <v>0.05</v>
      </c>
      <c r="E370" t="n">
        <v>0.1</v>
      </c>
    </row>
    <row r="371">
      <c r="A371" t="n">
        <v>21.76</v>
      </c>
      <c r="B371" t="n">
        <v>0.07262</v>
      </c>
      <c r="D371" t="n">
        <v>0.05</v>
      </c>
      <c r="E371" t="n">
        <v>0.1</v>
      </c>
    </row>
    <row r="372">
      <c r="A372" t="n">
        <v>21.87</v>
      </c>
      <c r="B372" t="n">
        <v>0.07262</v>
      </c>
      <c r="D372" t="n">
        <v>0.05</v>
      </c>
      <c r="E372" t="n">
        <v>0.1</v>
      </c>
    </row>
    <row r="373">
      <c r="A373" t="n">
        <v>21.98</v>
      </c>
      <c r="B373" t="n">
        <v>0.07262</v>
      </c>
      <c r="D373" t="n">
        <v>0.05</v>
      </c>
      <c r="E373" t="n">
        <v>0.1</v>
      </c>
    </row>
    <row r="374">
      <c r="A374" t="n">
        <v>22.1</v>
      </c>
      <c r="B374" t="n">
        <v>0.07262</v>
      </c>
      <c r="D374" t="n">
        <v>0.05</v>
      </c>
      <c r="E374" t="n">
        <v>0.1</v>
      </c>
    </row>
    <row r="375">
      <c r="A375" t="n">
        <v>22.21</v>
      </c>
      <c r="B375" t="n">
        <v>0.07262</v>
      </c>
      <c r="D375" t="n">
        <v>0.05</v>
      </c>
      <c r="E375" t="n">
        <v>0.1</v>
      </c>
    </row>
    <row r="376">
      <c r="A376" t="n">
        <v>22.33</v>
      </c>
      <c r="B376" t="n">
        <v>0.07262</v>
      </c>
      <c r="D376" t="n">
        <v>0.05</v>
      </c>
      <c r="E376" t="n">
        <v>0.1</v>
      </c>
    </row>
    <row r="377">
      <c r="A377" t="n">
        <v>22.44</v>
      </c>
      <c r="B377" t="n">
        <v>0.07262</v>
      </c>
      <c r="C377" t="n">
        <v>0.26958</v>
      </c>
      <c r="D377" t="n">
        <v>0.05</v>
      </c>
      <c r="E377" t="n">
        <v>0.1</v>
      </c>
    </row>
    <row r="378">
      <c r="A378" t="n">
        <v>22.55</v>
      </c>
      <c r="B378" t="n">
        <v>0.07262</v>
      </c>
      <c r="C378" t="n">
        <v>0.26958</v>
      </c>
      <c r="D378" t="n">
        <v>0.05</v>
      </c>
      <c r="E378" t="n">
        <v>0.1</v>
      </c>
    </row>
    <row r="379">
      <c r="A379" t="n">
        <v>22.66</v>
      </c>
      <c r="B379" t="n">
        <v>0.07262</v>
      </c>
      <c r="D379" t="n">
        <v>0.05</v>
      </c>
      <c r="E379" t="n">
        <v>0.1</v>
      </c>
    </row>
    <row r="380">
      <c r="A380" t="n">
        <v>22.76</v>
      </c>
      <c r="B380" t="n">
        <v>0.07262</v>
      </c>
      <c r="C380" t="n">
        <v>0.26958</v>
      </c>
      <c r="D380" t="n">
        <v>0.05</v>
      </c>
      <c r="E380" t="n">
        <v>0.1</v>
      </c>
    </row>
    <row r="381">
      <c r="A381" t="n">
        <v>22.88</v>
      </c>
      <c r="B381" t="n">
        <v>0.07262</v>
      </c>
      <c r="D381" t="n">
        <v>0.05</v>
      </c>
      <c r="E381" t="n">
        <v>0.1</v>
      </c>
    </row>
    <row r="382">
      <c r="A382" t="n">
        <v>23.01</v>
      </c>
      <c r="B382" t="n">
        <v>0.07262</v>
      </c>
      <c r="D382" t="n">
        <v>0.05</v>
      </c>
      <c r="E382" t="n">
        <v>0.1</v>
      </c>
    </row>
    <row r="383">
      <c r="A383" t="n">
        <v>23.12</v>
      </c>
      <c r="B383" t="n">
        <v>0.07262</v>
      </c>
      <c r="D383" t="n">
        <v>0.05</v>
      </c>
      <c r="E383" t="n">
        <v>0.1</v>
      </c>
    </row>
    <row r="384">
      <c r="A384" t="n">
        <v>23.24</v>
      </c>
      <c r="B384" t="n">
        <v>0.07262</v>
      </c>
      <c r="D384" t="n">
        <v>0.05</v>
      </c>
      <c r="E384" t="n">
        <v>0.1</v>
      </c>
    </row>
    <row r="385">
      <c r="A385" t="n">
        <v>23.35</v>
      </c>
      <c r="B385" t="n">
        <v>0.07262</v>
      </c>
      <c r="D385" t="n">
        <v>0.05</v>
      </c>
      <c r="E385" t="n">
        <v>0.1</v>
      </c>
    </row>
    <row r="386">
      <c r="A386" t="n">
        <v>23.47</v>
      </c>
      <c r="B386" t="n">
        <v>0.07262</v>
      </c>
      <c r="C386" t="n">
        <v>0.26958</v>
      </c>
      <c r="D386" t="n">
        <v>0.05</v>
      </c>
      <c r="E386" t="n">
        <v>0.1</v>
      </c>
    </row>
    <row r="387">
      <c r="A387" t="n">
        <v>23.58</v>
      </c>
      <c r="B387" t="n">
        <v>0.07262</v>
      </c>
      <c r="D387" t="n">
        <v>0.05</v>
      </c>
      <c r="E387" t="n">
        <v>0.1</v>
      </c>
    </row>
    <row r="388">
      <c r="A388" t="n">
        <v>23.69</v>
      </c>
      <c r="B388" t="n">
        <v>0.07262</v>
      </c>
      <c r="D388" t="n">
        <v>0.05</v>
      </c>
      <c r="E388" t="n">
        <v>0.1</v>
      </c>
    </row>
    <row r="389">
      <c r="A389" t="n">
        <v>23.81</v>
      </c>
      <c r="B389" t="n">
        <v>0.07262</v>
      </c>
      <c r="D389" t="n">
        <v>0.05</v>
      </c>
      <c r="E389" t="n">
        <v>0.1</v>
      </c>
    </row>
    <row r="390">
      <c r="A390" t="n">
        <v>23.93</v>
      </c>
      <c r="B390" t="n">
        <v>0.07262</v>
      </c>
      <c r="D390" t="n">
        <v>0.05</v>
      </c>
      <c r="E390" t="n">
        <v>0.1</v>
      </c>
    </row>
    <row r="391">
      <c r="A391" t="n">
        <v>24.03</v>
      </c>
      <c r="B391" t="n">
        <v>0.07262</v>
      </c>
      <c r="D391" t="n">
        <v>0.05</v>
      </c>
      <c r="E391" t="n">
        <v>0.1</v>
      </c>
    </row>
    <row r="392">
      <c r="A392" t="n">
        <v>24.14</v>
      </c>
      <c r="B392" t="n">
        <v>0.07262</v>
      </c>
      <c r="D392" t="n">
        <v>0.05</v>
      </c>
      <c r="E392" t="n">
        <v>0.1</v>
      </c>
    </row>
    <row r="393">
      <c r="A393" t="n">
        <v>24.24</v>
      </c>
      <c r="B393" t="n">
        <v>0.07262</v>
      </c>
      <c r="C393" t="n">
        <v>0.26958</v>
      </c>
      <c r="D393" t="n">
        <v>0.05</v>
      </c>
      <c r="E393" t="n">
        <v>0.1</v>
      </c>
    </row>
    <row r="394">
      <c r="A394" t="n">
        <v>24.36</v>
      </c>
      <c r="B394" t="n">
        <v>0.07262</v>
      </c>
      <c r="D394" t="n">
        <v>0.05</v>
      </c>
      <c r="E394" t="n">
        <v>0.1</v>
      </c>
    </row>
    <row r="395">
      <c r="A395" t="n">
        <v>24.48</v>
      </c>
      <c r="B395" t="n">
        <v>0.07262</v>
      </c>
      <c r="D395" t="n">
        <v>0.05</v>
      </c>
      <c r="E395" t="n">
        <v>0.1</v>
      </c>
    </row>
    <row r="396">
      <c r="A396" t="n">
        <v>24.6</v>
      </c>
      <c r="B396" t="n">
        <v>0.07262</v>
      </c>
      <c r="D396" t="n">
        <v>0.05</v>
      </c>
      <c r="E396" t="n">
        <v>0.1</v>
      </c>
    </row>
    <row r="397">
      <c r="A397" t="n">
        <v>24.7</v>
      </c>
      <c r="B397" t="n">
        <v>0.07262</v>
      </c>
      <c r="C397" t="n">
        <v>0.26958</v>
      </c>
      <c r="D397" t="n">
        <v>0.05</v>
      </c>
      <c r="E397" t="n">
        <v>0.1</v>
      </c>
    </row>
    <row r="398">
      <c r="A398" t="n">
        <v>24.81</v>
      </c>
      <c r="B398" t="n">
        <v>0.07262</v>
      </c>
      <c r="D398" t="n">
        <v>0.05</v>
      </c>
      <c r="E398" t="n">
        <v>0.1</v>
      </c>
    </row>
    <row r="399">
      <c r="A399" t="n">
        <v>24.92</v>
      </c>
      <c r="B399" t="n">
        <v>0.07262</v>
      </c>
      <c r="D399" t="n">
        <v>0.05</v>
      </c>
      <c r="E399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0" customWidth="1" min="4" max="4"/>
    <col width="16" customWidth="1" min="5" max="5"/>
    <col width="60" customWidth="1" min="6" max="6"/>
  </cols>
  <sheetData>
    <row r="1">
      <c r="A1" s="3" t="inlineStr">
        <is>
          <t>항목</t>
        </is>
      </c>
      <c r="B1" s="3" t="inlineStr">
        <is>
          <t>RMxprt v2m2</t>
        </is>
      </c>
      <c r="C1" s="3" t="inlineStr">
        <is>
          <t>2D FEM (lite)</t>
        </is>
      </c>
      <c r="D1" s="3" t="inlineStr">
        <is>
          <t>MCCM 입력 (LUT 계산에 쓴 값)</t>
        </is>
      </c>
      <c r="E1" s="3" t="inlineStr">
        <is>
          <t>FEM−RMxprt 차이 % (수식)</t>
        </is>
      </c>
      <c r="F1" s="3" t="inlineStr">
        <is>
          <t>비고</t>
        </is>
      </c>
    </row>
    <row r="2">
      <c r="A2" t="inlineStr">
        <is>
          <t>R1 [Ω] 20 °C</t>
        </is>
      </c>
      <c r="B2" s="5" t="n">
        <v>1.24388</v>
      </c>
      <c r="C2" s="5" t="n"/>
      <c r="D2" s="5" t="n"/>
      <c r="F2" t="inlineStr">
        <is>
          <t>온도 스윕(RMxprt)</t>
        </is>
      </c>
    </row>
    <row r="3">
      <c r="A3" t="inlineStr">
        <is>
          <t>R1 [Ω] 95 °C (hot, MCCM 사용)</t>
        </is>
      </c>
      <c r="B3" s="5" t="n">
        <v>1.60973</v>
      </c>
      <c r="C3" s="5" t="n"/>
      <c r="D3" s="5" t="n">
        <v>1.60973</v>
      </c>
      <c r="F3" t="inlineStr"/>
    </row>
    <row r="4">
      <c r="A4" t="inlineStr">
        <is>
          <t>R2′ [Ω]</t>
        </is>
      </c>
      <c r="B4" s="5" t="n">
        <v>1.37589</v>
      </c>
      <c r="C4" s="5" t="n"/>
      <c r="D4" s="5" t="n">
        <v>1.214158218663684</v>
      </c>
      <c r="F4" t="inlineStr">
        <is>
          <t>MCCM 물리 보정(기계출력 맞춤)</t>
        </is>
      </c>
    </row>
    <row r="5">
      <c r="A5" t="inlineStr">
        <is>
          <t>X1 [Ω]</t>
        </is>
      </c>
      <c r="B5" s="5" t="n">
        <v>2.00296</v>
      </c>
      <c r="C5" s="5" t="n"/>
      <c r="D5" s="5" t="n">
        <v>2.00296</v>
      </c>
      <c r="F5" t="inlineStr"/>
    </row>
    <row r="6">
      <c r="A6" t="inlineStr">
        <is>
          <t>X2′ [Ω]</t>
        </is>
      </c>
      <c r="B6" s="5" t="n">
        <v>10.2834</v>
      </c>
      <c r="C6" s="5" t="n"/>
      <c r="D6" s="5" t="n">
        <v>10.2834</v>
      </c>
      <c r="F6" t="inlineStr"/>
    </row>
    <row r="7">
      <c r="A7" t="inlineStr">
        <is>
          <t>Xm [Ω]</t>
        </is>
      </c>
      <c r="B7" s="5" t="n">
        <v>97.56659999999999</v>
      </c>
      <c r="C7" s="5" t="n">
        <v>95.60610504810332</v>
      </c>
      <c r="D7" s="5" t="n">
        <v>97.56659999999999</v>
      </c>
      <c r="E7">
        <f>(C7/B7-1)*100</f>
        <v/>
      </c>
      <c r="F7" t="inlineStr">
        <is>
          <t>FEM = 자화곡선 k=1 X_total</t>
        </is>
      </c>
    </row>
    <row r="8">
      <c r="A8" t="inlineStr">
        <is>
          <t>Z₂ [Ω] (역상)</t>
        </is>
      </c>
      <c r="B8" s="5" t="n"/>
      <c r="C8" s="5" t="n">
        <v>5.966606203463734</v>
      </c>
      <c r="D8" s="5" t="n">
        <v>7.136</v>
      </c>
      <c r="F8" t="inlineStr">
        <is>
          <t>FEM 원값 5.33, 보정 5.97; 앵커 대비 -16.4 % → I₂ +20 %</t>
        </is>
      </c>
    </row>
    <row r="9">
      <c r="A9" t="inlineStr">
        <is>
          <t>단락 턴 자기 인덕턴스 [µH] (top/bot)</t>
        </is>
      </c>
      <c r="B9" s="5" t="n"/>
      <c r="C9" s="5" t="n">
        <v>8.1472</v>
      </c>
      <c r="D9" s="5" t="n"/>
      <c r="F9" t="inlineStr">
        <is>
          <t>LUT note: 단락 턴 누설 9.5 mΩ (2D lite 파라미터로 재계산한 v3 와 7 케이스 &lt; 0.6 %)</t>
        </is>
      </c>
    </row>
    <row r="10">
      <c r="A10" t="inlineStr">
        <is>
          <t>Rfe [Ω]</t>
        </is>
      </c>
      <c r="B10" s="5" t="n">
        <v>2256.35</v>
      </c>
      <c r="C10" s="5" t="n"/>
      <c r="D10" s="5" t="n">
        <v>2516.551905625818</v>
      </c>
      <c r="F10" t="inlineStr">
        <is>
          <t>MCCM 물리 정합(데이터시트 철손)</t>
        </is>
      </c>
    </row>
    <row r="12">
      <c r="A12" t="inlineStr">
        <is>
          <t>각주</t>
        </is>
      </c>
      <c r="B12" t="inlineStr">
        <is>
          <t>시뮬(엔진)에는 등가회로 상수가 직접 들어가지 않는다 — LUT(MCCM)가 이 값으로 계산한 결과만 쓴다. 근거 표.</t>
        </is>
      </c>
    </row>
    <row r="14">
      <c r="A14" s="2" t="inlineStr">
        <is>
          <t>입력 파일 sha256(앞 16)</t>
        </is>
      </c>
      <c r="B14" t="inlineStr"/>
      <c r="C14" t="inlineStr"/>
      <c r="D14" t="inlineStr"/>
    </row>
    <row r="15">
      <c r="A15" t="inlineStr">
        <is>
          <t>analysis_reference</t>
        </is>
      </c>
      <c r="B15" t="inlineStr">
        <is>
          <t>motor_dt_viz/data/electrical/analysis_reference.json</t>
        </is>
      </c>
      <c r="C15" t="inlineStr">
        <is>
          <t>59765f4dbb91cf68</t>
        </is>
      </c>
    </row>
    <row r="16">
      <c r="A16" t="inlineStr">
        <is>
          <t>sim_vs_analysis</t>
        </is>
      </c>
      <c r="B16" t="inlineStr">
        <is>
          <t>docs/verification/sim_vs_analysis.json</t>
        </is>
      </c>
      <c r="C16" t="inlineStr">
        <is>
          <t>8f1af0be7fa49d74</t>
        </is>
      </c>
    </row>
    <row r="17">
      <c r="A17" t="inlineStr">
        <is>
          <t>lut</t>
        </is>
      </c>
      <c r="B17" t="inlineStr">
        <is>
          <t>motor_dt_viz/data/electrical/M1_mccm_lut_v2.json</t>
        </is>
      </c>
      <c r="C17" t="inlineStr">
        <is>
          <t>c6898c6e8d801f49</t>
        </is>
      </c>
    </row>
    <row r="18">
      <c r="A18" t="inlineStr">
        <is>
          <t>verification_summary</t>
        </is>
      </c>
      <c r="B18" t="inlineStr">
        <is>
          <t>docs/verification_summary.json</t>
        </is>
      </c>
      <c r="C18" t="inlineStr">
        <is>
          <t>b9adb4b8a2b4c7cc</t>
        </is>
      </c>
    </row>
    <row r="19">
      <c r="A19" t="inlineStr">
        <is>
          <t>thresholds</t>
        </is>
      </c>
      <c r="B19" t="inlineStr">
        <is>
          <t>motor_dt_viz/config/thresholds.yaml</t>
        </is>
      </c>
      <c r="C19" t="inlineStr">
        <is>
          <t>92a7e9fb6043903e</t>
        </is>
      </c>
    </row>
    <row r="20">
      <c r="A20" t="inlineStr">
        <is>
          <t>maxwell_mccm_results</t>
        </is>
      </c>
      <c r="B20" t="inlineStr">
        <is>
          <t>C:\Users\sunwu\OneDrive\바탕 화면\권상모터_3D모델링\maxwell/results/mccm_results.json</t>
        </is>
      </c>
      <c r="C20" t="inlineStr">
        <is>
          <t>4e2a832bd6c9c17f</t>
        </is>
      </c>
    </row>
    <row r="21">
      <c r="A21" t="inlineStr">
        <is>
          <t>maxwell_eddy_summary</t>
        </is>
      </c>
      <c r="B21" t="inlineStr">
        <is>
          <t>C:\Users\sunwu\OneDrive\바탕 화면\권상모터_3D모델링\maxwell/results/eddy2d/summary.json</t>
        </is>
      </c>
      <c r="C21" t="inlineStr">
        <is>
          <t>0fb986f232d14d4e</t>
        </is>
      </c>
    </row>
    <row r="22">
      <c r="A22" t="inlineStr">
        <is>
          <t>maxwell_f2</t>
        </is>
      </c>
      <c r="B22" t="inlineStr">
        <is>
          <t>C:\Users\sunwu\OneDrive\바탕 화면\권상모터_3D모델링\maxwell/results/f2_corrections.json</t>
        </is>
      </c>
      <c r="C22" t="inlineStr">
        <is>
          <t>5e21ad5b5d91fda9</t>
        </is>
      </c>
    </row>
    <row r="23">
      <c r="A23" t="inlineStr">
        <is>
          <t>maxwell_rmxprt</t>
        </is>
      </c>
      <c r="B23" t="inlineStr">
        <is>
          <t>C:\Users\sunwu\OneDrive\바탕 화면\권상모터_3D모델링\maxwell/results/rmxprt_v2m2.json</t>
        </is>
      </c>
      <c r="C23" t="inlineStr">
        <is>
          <t>07736423faa11165</t>
        </is>
      </c>
    </row>
    <row r="24">
      <c r="A24" t="inlineStr">
        <is>
          <t>maxwell_inductance</t>
        </is>
      </c>
      <c r="B24" t="inlineStr">
        <is>
          <t>C:\Users\sunwu\OneDrive\바탕 화면\권상모터_3D모델링\maxwell/results/inductance_matrix_2d.json</t>
        </is>
      </c>
      <c r="C24" t="inlineStr">
        <is>
          <t>a36126216cd3ec6c</t>
        </is>
      </c>
    </row>
    <row r="25">
      <c r="A25" t="inlineStr">
        <is>
          <t>state_a0</t>
        </is>
      </c>
      <c r="B25" t="inlineStr">
        <is>
          <t>motor_dt_viz/logs/verify/electrical_a0/state.csv</t>
        </is>
      </c>
      <c r="C25" t="inlineStr">
        <is>
          <t>0c7524ce74150076</t>
        </is>
      </c>
    </row>
    <row r="26">
      <c r="A26" t="inlineStr">
        <is>
          <t>state_a90</t>
        </is>
      </c>
      <c r="B26" t="inlineStr">
        <is>
          <t>motor_dt_viz/logs/verify/electrical_a90/state.csv</t>
        </is>
      </c>
      <c r="C26" t="inlineStr">
        <is>
          <t>8a73bc7b461565b9</t>
        </is>
      </c>
    </row>
    <row r="27">
      <c r="A27" t="inlineStr">
        <is>
          <t>state_a180</t>
        </is>
      </c>
      <c r="B27" t="inlineStr">
        <is>
          <t>motor_dt_viz/logs/verify/electrical_a180/state.csv</t>
        </is>
      </c>
      <c r="C27" t="inlineStr">
        <is>
          <t>be8476ed7628b493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70" customWidth="1" min="4" max="4"/>
    <col width="30" customWidth="1" min="5" max="5"/>
  </cols>
  <sheetData>
    <row r="1">
      <c r="A1" s="3" t="inlineStr">
        <is>
          <t>표시량</t>
        </is>
      </c>
      <c r="B1" s="3" t="inlineStr">
        <is>
          <t>엔진 함수</t>
        </is>
      </c>
      <c r="C1" s="3" t="inlineStr">
        <is>
          <t>입력 파일(sha)</t>
        </is>
      </c>
      <c r="D1" s="3" t="inlineStr">
        <is>
          <t>해석 단계</t>
        </is>
      </c>
      <c r="E1" s="3" t="inlineStr">
        <is>
          <t>출처 등급</t>
        </is>
      </c>
    </row>
    <row r="2">
      <c r="A2" s="12" t="inlineStr">
        <is>
          <t>I₂/I₁ (HUD I2/I1, 상태 보드 게이지, 대시보드 추세)</t>
        </is>
      </c>
      <c r="B2" s="12" t="inlineStr">
        <is>
          <t>engine/current_model.CurrentModel.waveform→analyze (phasors_from_waveform·symmetrical_components); LUT 결함 I₂ + 고유 비대칭 페이저 합</t>
        </is>
      </c>
      <c r="C2" s="12" t="inlineStr">
        <is>
          <t>motor_dt_viz/data/electrical/M1_mccm_lut_v2.json (c6898c6e8d80)
motor_dt_viz/config/electrical.yaml (69266c21fed8)</t>
        </is>
      </c>
      <c r="D2" s="12" t="inlineStr">
        <is>
          <t>mccm.py: RMxprt v2m2 등가회로 상수(M400-50A_user60, 철손 데이터시트) → 다중결합 회로(Z₂ 카탈로그 앵커 7.136 Ω, 단락 루프 R_f + μR1) → 격자 160점 LUT; 2D 와전류 FEM(F1) 단락 루프 전류 ±5 % 정합</t>
        </is>
      </c>
      <c r="E2" s="12" t="inlineStr">
        <is>
          <t>등가회로 LUT + 2D FEM lite 검증(I_f ±3 %, Xm −3.7 %, 잠김 IEC 안; provisional) + 고유 비대칭(참고 데이터셋)</t>
        </is>
      </c>
    </row>
    <row r="3">
      <c r="A3" s="12" t="inlineStr">
        <is>
          <t>I₂/I_n (HUD I2/In, 부하 무관 보조 지표)</t>
        </is>
      </c>
      <c r="B3" s="12" t="inlineStr">
        <is>
          <t>CurrentModel.analyze → i2_over_in = |I₂|/I_n (I_n = electrical.yaml rated_current_A 4.73)</t>
        </is>
      </c>
      <c r="C3" s="12" t="inlineStr">
        <is>
          <t>motor_dt_viz/data/electrical/M1_mccm_lut_v2.json (c6898c6e8d80)
motor_dt_viz/config/electrical.yaml (69266c21fed8)
motor_dt_viz/config/motors/M1.yaml (2d8ca5614eaf)</t>
        </is>
      </c>
      <c r="D3" s="12" t="inlineStr">
        <is>
          <t>mccm.py: RMxprt v2m2 등가회로 상수(M400-50A_user60, 철손 데이터시트) → 다중결합 회로(Z₂ 카탈로그 앵커 7.136 Ω, 단락 루프 R_f + μR1) → 격자 160점 LUT; 2D 와전류 FEM(F1) 단락 루프 전류 ±5 % 정합; 시뮬은 I₁ 을 정격×부하로 고정하는 규약이라 LUT I₂/I_n(LUT I₁ 기준)과 분모가 다르다</t>
        </is>
      </c>
      <c r="E3" s="12" t="inlineStr">
        <is>
          <t>등가회로 LUT (표시 전용, 판정 없음)</t>
        </is>
      </c>
    </row>
    <row r="4">
      <c r="A4" s="12" t="inlineStr">
        <is>
          <t>상별 RMS Ia/Ib/Ic·전류/정격 비율·상태색</t>
        </is>
      </c>
      <c r="B4" s="12" t="inlineStr">
        <is>
          <t>CurrentModel._phasors (I₁ 피크 = √2·I_n·부하, I₂ = I₁·(r·e^{jθ}+h)) → waveform → analyze.rms_A/ratio/status</t>
        </is>
      </c>
      <c r="C4" s="12" t="inlineStr">
        <is>
          <t>motor_dt_viz/data/electrical/M1_mccm_lut_v2.json (c6898c6e8d80)
motor_dt_viz/config/motors/M1.yaml (2d8ca5614eaf)
motor_dt_viz/config/electrical.yaml (69266c21fed8)</t>
        </is>
      </c>
      <c r="D4" s="12" t="inlineStr">
        <is>
          <t>LUT 의 I₂/I₁·위상(θ vs I₁) 만 쓰고 크기는 정격 규약 — LUT 자체 I_a/I_b/I_c(결함 시 I₁ 상승)와는 다름</t>
        </is>
      </c>
      <c r="E4" s="12" t="inlineStr">
        <is>
          <t>등가회로 LUT + 카탈로그 정격</t>
        </is>
      </c>
    </row>
    <row r="5">
      <c r="A5" s="12" t="inlineStr">
        <is>
          <t>단락 루프 전류 I_f (Coil_01_short 발광·입자, 상태 short_loop)</t>
        </is>
      </c>
      <c r="B5" s="12" t="inlineStr">
        <is>
          <t>CurrentModel.short_loop → LUT i_f_A (lut.query 3축 보간)</t>
        </is>
      </c>
      <c r="C5" s="12" t="inlineStr">
        <is>
          <t>motor_dt_viz/data/electrical/M1_mccm_lut_v2.json (c6898c6e8d80)</t>
        </is>
      </c>
      <c r="D5" s="12" t="inlineStr">
        <is>
          <t>mccm.py: RMxprt v2m2 등가회로 상수(M400-50A_user60, 철손 데이터시트) → 다중결합 회로(Z₂ 카탈로그 앵커 7.136 Ω, 단락 루프 R_f + μR1) → 격자 160점 LUT; 2D 와전류 FEM(F1) 단락 루프 전류 ±5 % 정합; FEM 보정값 35.2/4.56 A 는 참고 열</t>
        </is>
      </c>
      <c r="E5" s="12" t="inlineStr">
        <is>
          <t>등가회로 MCCM (FEM ±5 % 정합)</t>
        </is>
      </c>
    </row>
    <row r="6">
      <c r="A6" s="12" t="inlineStr">
        <is>
          <t>단락 루프 총손실 P_loop_total (권선 노드 추가 손실, HUD basis 줄)</t>
        </is>
      </c>
      <c r="B6" s="12" t="inlineStr">
        <is>
          <t>CurrentModel.loop_loss_W → LUT p_loop_total_W → ThermalModel.step(extra_loss_W={winding})</t>
        </is>
      </c>
      <c r="C6" s="12" t="inlineStr">
        <is>
          <t>motor_dt_viz/data/electrical/M1_mccm_lut_v2.json (c6898c6e8d80)
motor_dt_viz/config/electrical.yaml (69266c21fed8)</t>
        </is>
      </c>
      <c r="D6" s="12" t="inlineStr">
        <is>
          <t>I_f²·(R_f + μ·R1_hot) + 단락 턴 동손 (MCCM)</t>
        </is>
      </c>
      <c r="E6" s="12" t="inlineStr">
        <is>
          <t>등가회로 MCCM</t>
        </is>
      </c>
    </row>
    <row r="7">
      <c r="A7" s="12" t="inlineStr">
        <is>
          <t>권선·로터·베어링·프레임 온도(색·HUD·게이지)</t>
        </is>
      </c>
      <c r="B7" s="12" t="inlineStr">
        <is>
          <t>engine/thermal_model.ThermalModel.step (RK4, 9노드 집중정수, losses: copper_i2r·iron_const·rotor_slip·bearing_friction)</t>
        </is>
      </c>
      <c r="C7" s="12" t="inlineStr">
        <is>
          <t>motor_dt_viz/config/thermal.yaml (fe1e7d4e4c2a)
motor_dt_viz/config/motors/M1.yaml (2d8ca5614eaf)</t>
        </is>
      </c>
      <c r="D7" s="12" t="inlineStr">
        <is>
          <t>22 kW 보정값을 손실비 P(1−η)/η·프레임 치수비로 스케일(engine/motor_library.thermal_cfg, thermal.yaml reference) — Maxwell 근거 아님</t>
        </is>
      </c>
      <c r="E7" s="12" t="inlineStr">
        <is>
          <t>열회로 모델(낙관 가능성, 실측 전 보정 불가)</t>
        </is>
      </c>
    </row>
    <row r="8">
      <c r="A8" s="12" t="inlineStr">
        <is>
          <t>판정 SAFE/WARN/DANGER·원인 신호·advisory</t>
        </is>
      </c>
      <c r="B8" s="12" t="inlineStr">
        <is>
          <t>engine/thresholds.Judge.update (worst-of, 히스테리시스 5 %, 지속 3 s, provisional 정책)</t>
        </is>
      </c>
      <c r="C8" s="12" t="inlineStr">
        <is>
          <t>motor_dt_viz/config/thresholds.yaml (92a7e9fb6043)</t>
        </is>
      </c>
      <c r="D8" s="12" t="inlineStr">
        <is>
          <t>I₂/I₁ 0.05/0.10(참고 데이터셋 provisional), 전류/정격 0.85~1.10/1.25·0.50, 온도 F종·그리스, 진동 ISO 10816-1 Class I</t>
        </is>
      </c>
      <c r="E8" s="12" t="inlineStr">
        <is>
          <t>임계값(표준·참고 데이터셋) — 해석값 아님</t>
        </is>
      </c>
    </row>
    <row r="9">
      <c r="A9" s="12" t="inlineStr">
        <is>
          <t>정격점(카탈로그 4.73 A·pf 0.79·η 0.895·1760 rpm) — 모터 모델 근거 표</t>
        </is>
      </c>
      <c r="B9" s="12" t="inlineStr">
        <is>
          <t>config/motors/M1.yaml (motor_library.motor_spec)</t>
        </is>
      </c>
      <c r="C9" s="12" t="inlineStr">
        <is>
          <t>motor_dt_viz/config/motors/M1.yaml (2d8ca5614eaf)
C:\Users\sunwu\OneDrive\바탕 화면\권상모터_3D모델링\maxwell\results\rmxprt_v2m2.json (07736423faa1)
C:\Users\sunwu\OneDrive\바탕 화면\권상모터_3D모델링\maxwell\results\eddy2d\summary.json (0fb986f232d1)
C:\Users\sunwu\OneDrive\바탕 화면\권상모터_3D모델링\maxwell\results\f7_iec_tolerance.json (f99af4b76654)</t>
        </is>
      </c>
      <c r="D9" s="12" t="inlineStr">
        <is>
          <t>RMxprt v2m2 정합 4.670 A·0.791·89.58 % / 2D FEM lite 4.90 A·0.740 / IEC 60034-1 허용차</t>
        </is>
      </c>
      <c r="E9" s="12" t="inlineStr">
        <is>
          <t>카탈로그 (RMxprt 정합·FEM 참고)</t>
        </is>
      </c>
    </row>
    <row r="10">
      <c r="A10" s="12" t="inlineStr">
        <is>
          <t>기동 특성(잠김 전류·토크비) — 근거 표</t>
        </is>
      </c>
      <c r="B10" s="12" t="inlineStr">
        <is>
          <t>표시 전용 (엔진 미사용)</t>
        </is>
      </c>
      <c r="C10" s="12" t="inlineStr">
        <is>
          <t>motor_dt_viz/config/motors/M1.yaml (2d8ca5614eaf)
C:\Users\sunwu\OneDrive\바탕 화면\권상모터_3D모델링\maxwell\results\rmxprt_v2m2.json (07736423faa1)
C:\Users\sunwu\OneDrive\바탕 화면\권상모터_3D모델링\maxwell\results\f2_corrections.json (5e21ad5b5d91)</t>
        </is>
      </c>
      <c r="D10" s="12" t="inlineStr">
        <is>
          <t>카탈로그 6.5×/2.1× ↔ RMxprt 8.24×/3.09× ↔ 2D FEM + F2 스큐 보정 7.43×/2.34×</t>
        </is>
      </c>
      <c r="E10" s="12" t="inlineStr">
        <is>
          <t>카탈로그 / RMxprt / 2D FEM 보정</t>
        </is>
      </c>
    </row>
    <row r="11">
      <c r="A11" s="12" t="inlineStr">
        <is>
          <t>등가회로 상수(R1·R2′·X1·X2′·Xm·Z₂) — 근거 표</t>
        </is>
      </c>
      <c r="B11" s="12" t="inlineStr">
        <is>
          <t>표시 전용</t>
        </is>
      </c>
      <c r="C11" s="12" t="inlineStr">
        <is>
          <t>C:\Users\sunwu\OneDrive\바탕 화면\권상모터_3D모델링\maxwell\results\rmxprt_v2m2.json (07736423faa1)
C:\Users\sunwu\OneDrive\바탕 화면\권상모터_3D모델링\maxwell\results\rmxprt_temp_sweep.json (21fe315328ce)
C:\Users\sunwu\OneDrive\바탕 화면\권상모터_3D모델링\maxwell\results\magnetizing_curve_2d.json (b0f93df33e1b)
C:\Users\sunwu\OneDrive\바탕 화면\권상모터_3D모델링\maxwell\results\eddy2d\summary.json (0fb986f232d1)
C:\Users\sunwu\OneDrive\바탕 화면\권상모터_3D모델링\maxwell\results\inductance_matrix_2d.json (a36126216cd3)</t>
        </is>
      </c>
      <c r="D11" s="12" t="inlineStr">
        <is>
          <t>RMxprt v2m2 (R1 20/95 °C 온도 스윕) ↔ 2D FEM X_total 95.6 Ω(자화 곡선 k=1) ↔ 역상 Z₂ 5.33(FEM)/5.97(보정) vs 앵커 7.136</t>
        </is>
      </c>
      <c r="E11" s="12" t="inlineStr">
        <is>
          <t>RMxprt 정합 / 2D FEM</t>
        </is>
      </c>
    </row>
    <row r="12">
      <c r="A12" s="12" t="inlineStr">
        <is>
          <t>기계 결함(DE 베어링·오정렬·팬·브레이크·과부하) 진동·kurtosis·고주파 지표</t>
        </is>
      </c>
      <c r="B12" s="12" t="inlineStr">
        <is>
          <t>engine/fault_injector (결함별 상수) + thermal.yaml faults(손실 배율·열저항)</t>
        </is>
      </c>
      <c r="C12" s="12" t="inlineStr">
        <is>
          <t>motor_dt_viz/config/thermal.yaml (fe1e7d4e4c2a)
motor_dt_viz/config/thresholds.yaml (92a7e9fb6043)</t>
        </is>
      </c>
      <c r="D12" s="12" t="inlineStr">
        <is>
          <t>Maxwell 근거 없음 — 진동 상수(시나리오), ISO 10816-1 Class I(표준), 베어링 지표 AI Hub 참고 데이터셋</t>
        </is>
      </c>
      <c r="E12" s="12" t="inlineStr">
        <is>
          <t>표준 / 참고 데이터셋 / 시나리오 상수 (해석값 아님)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0" customWidth="1" min="2" max="2"/>
    <col width="60" customWidth="1" min="3" max="3"/>
  </cols>
  <sheetData>
    <row r="1">
      <c r="A1" s="3" t="inlineStr">
        <is>
          <t>#</t>
        </is>
      </c>
      <c r="B1" s="3" t="inlineStr">
        <is>
          <t>한계</t>
        </is>
      </c>
      <c r="C1" s="3" t="inlineStr">
        <is>
          <t>영향</t>
        </is>
      </c>
    </row>
    <row r="2">
      <c r="A2" t="n">
        <v>1</v>
      </c>
      <c r="B2" t="inlineStr">
        <is>
          <t>합성 신호(엔진 페이저 합성) — 실측 아님</t>
        </is>
      </c>
      <c r="C2" t="inlineStr"/>
    </row>
    <row r="3">
      <c r="A3" t="n">
        <v>2</v>
      </c>
      <c r="B3" t="inlineStr">
        <is>
          <t>고유 비대칭 0.027 은 건전 하한 가정(AI Hub L-EF-04·R-EF-05 중앙값; L-SF-04 실측 p95 0.1005 는 품질 부적합)</t>
        </is>
      </c>
      <c r="C3" t="inlineStr"/>
    </row>
    <row r="4">
      <c r="A4" t="n">
        <v>3</v>
      </c>
      <c r="B4" t="inlineStr">
        <is>
          <t>Z₂ 카탈로그 앵커 7.136 Ω vs FEM 5.97 Ω → LUT I₂ 불확실성 +20 %</t>
        </is>
      </c>
      <c r="C4" t="inlineStr"/>
    </row>
    <row r="5">
      <c r="A5" t="n">
        <v>4</v>
      </c>
      <c r="B5" t="inlineStr">
        <is>
          <t>2D lite: 무스큐·분산 결함·단순화 기하(학생판), 시간 파형·RSH 없음</t>
        </is>
      </c>
      <c r="C5" t="inlineStr"/>
    </row>
    <row r="6">
      <c r="A6" t="n">
        <v>5</v>
      </c>
      <c r="B6" t="inlineStr">
        <is>
          <t>열 모델은 22 kW 기준 스케일 — M1 에서 낙관적일 수 있음(실측 전 보정 불가)</t>
        </is>
      </c>
      <c r="C6" t="inlineStr"/>
    </row>
    <row r="7">
      <c r="A7" t="n">
        <v>6</v>
      </c>
      <c r="B7" t="inlineStr">
        <is>
          <t>기계 결함(베어링·오정렬·팬·브레이크)은 Maxwell 근거 없음 — 진동·베어링 상수(표준/AI Hub 참고)</t>
        </is>
      </c>
      <c r="C7" t="inlineStr"/>
    </row>
    <row r="8">
      <c r="A8" t="n">
        <v>7</v>
      </c>
      <c r="B8" t="inlineStr">
        <is>
          <t>합성 신호라 전류 과도·RSH 없음 — 탐지 지연은 3 s 지속 규칙뿐</t>
        </is>
      </c>
      <c r="C8" t="inlineStr">
        <is>
          <t>실모터 창 길이·필터·돌입이 더해진다</t>
        </is>
      </c>
    </row>
    <row r="9">
      <c r="A9" t="n">
        <v>8</v>
      </c>
      <c r="B9" t="inlineStr">
        <is>
          <t>기계 결함(베어링·오정렬·팬·브레이크)은 Maxwell 대조 대상 아님</t>
        </is>
      </c>
      <c r="C9" t="inlineStr">
        <is>
          <t>진동·베어링 상수(표준/AI Hub 참고)만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2026-10-21T14:25:57Z</dcterms:created>
  <dcterms:modified xmlns:dcterms="http://purl.org/dc/terms/" xmlns:xsi="http://www.w3.org/2001/XMLSchema-instance" xsi:type="dcterms:W3CDTF">2026-10-21T14:25:57Z</dcterms:modified>
</cp:coreProperties>
</file>