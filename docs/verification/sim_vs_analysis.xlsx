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조표" sheetId="1" state="visible" r:id="rId1"/>
    <sheet xmlns:r="http://schemas.openxmlformats.org/officeDocument/2006/relationships" name="이벤트" sheetId="2" state="visible" r:id="rId2"/>
    <sheet xmlns:r="http://schemas.openxmlformats.org/officeDocument/2006/relationships" name="재계산" sheetId="3" state="visible" r:id="rId3"/>
    <sheet xmlns:r="http://schemas.openxmlformats.org/officeDocument/2006/relationships" name="민감도" sheetId="4" state="visible" r:id="rId4"/>
    <sheet xmlns:r="http://schemas.openxmlformats.org/officeDocument/2006/relationships" name="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항목</t>
        </is>
      </c>
      <c r="B1" s="1" t="inlineStr">
        <is>
          <t>시나리오</t>
        </is>
      </c>
      <c r="C1" s="1" t="inlineStr">
        <is>
          <t>시뮬(로그)</t>
        </is>
      </c>
      <c r="D1" s="1" t="inlineStr">
        <is>
          <t>해석 기준</t>
        </is>
      </c>
      <c r="E1" s="1" t="inlineStr">
        <is>
          <t>허용(상대)</t>
        </is>
      </c>
      <c r="F1" s="1" t="inlineStr">
        <is>
          <t>편차 % (수식)</t>
        </is>
      </c>
      <c r="G1" s="1" t="inlineStr">
        <is>
          <t>판정 (수식)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종류</t>
        </is>
      </c>
    </row>
    <row r="2">
      <c r="A2" t="inlineStr">
        <is>
          <t>정상 상태 (I₂/I₁ 마지막 5 s 표준편차 &lt; 1 %)</t>
        </is>
      </c>
      <c r="B2" t="inlineStr">
        <is>
          <t>healthy</t>
        </is>
      </c>
      <c r="C2" t="n">
        <v>0</v>
      </c>
      <c r="D2" t="n">
        <v>1</v>
      </c>
      <c r="G2" t="inlineStr">
        <is>
          <t>PASS</t>
        </is>
      </c>
      <c r="H2" t="inlineStr">
        <is>
          <t>n=88</t>
        </is>
      </c>
      <c r="I2" t="inlineStr">
        <is>
          <t>state.csv</t>
        </is>
      </c>
      <c r="J2" t="inlineStr">
        <is>
          <t>bool</t>
        </is>
      </c>
    </row>
    <row r="3">
      <c r="A3" t="inlineStr">
        <is>
          <t>I₂/I₁ 결함분 (합성 − 고유 비대칭 페이저)</t>
        </is>
      </c>
      <c r="B3" t="inlineStr">
        <is>
          <t>healthy</t>
        </is>
      </c>
      <c r="C3" t="n">
        <v>0</v>
      </c>
      <c r="D3" t="n">
        <v>0</v>
      </c>
      <c r="E3" t="n">
        <v>0.01</v>
      </c>
      <c r="G3" t="inlineStr">
        <is>
          <t>PASS</t>
        </is>
      </c>
      <c r="H3" t="inlineStr">
        <is>
          <t>합성 0.02700 ∠0.0°, 고유 0.027 ∠0°</t>
        </is>
      </c>
      <c r="I3" t="inlineStr">
        <is>
          <t>LUT v2 격자 (mccm_results)</t>
        </is>
      </c>
      <c r="J3" t="inlineStr">
        <is>
          <t>rel</t>
        </is>
      </c>
    </row>
    <row r="4">
      <c r="A4" t="inlineStr">
        <is>
          <t>I₂/I₁ 합성값 (범위 |r−h| ~ r+h)</t>
        </is>
      </c>
      <c r="B4" t="inlineStr">
        <is>
          <t>healthy</t>
        </is>
      </c>
      <c r="C4" t="n">
        <v>0.027</v>
      </c>
      <c r="D4" t="inlineStr">
        <is>
          <t>0.027~0.027</t>
        </is>
      </c>
      <c r="G4">
        <f>IF(AND(C4&gt;=0.027,C4&lt;=0.027),"PASS","FAIL")</f>
        <v/>
      </c>
      <c r="H4" t="inlineStr">
        <is>
          <t>기대(각도 0°) 0.027</t>
        </is>
      </c>
      <c r="I4" t="inlineStr">
        <is>
          <t>LUT + inherent</t>
        </is>
      </c>
      <c r="J4" t="inlineStr">
        <is>
          <t>range</t>
        </is>
      </c>
    </row>
    <row r="5">
      <c r="A5" t="inlineStr">
        <is>
          <t>I₂/I₁ 합성값 vs 기대(각도 0°)</t>
        </is>
      </c>
      <c r="B5" t="inlineStr">
        <is>
          <t>healthy</t>
        </is>
      </c>
      <c r="C5" t="n">
        <v>0.027</v>
      </c>
      <c r="D5" t="n">
        <v>0.027</v>
      </c>
      <c r="E5" t="n">
        <v>0.01</v>
      </c>
      <c r="F5">
        <f>(C5/D5-1)*100</f>
        <v/>
      </c>
      <c r="G5">
        <f>IF(ABS(F5)&lt;=E5*100,"PASS","FAIL")</f>
        <v/>
      </c>
      <c r="H5" t="inlineStr"/>
      <c r="I5" t="inlineStr">
        <is>
          <t>LUT + inherent</t>
        </is>
      </c>
      <c r="J5" t="inlineStr">
        <is>
          <t>rel</t>
        </is>
      </c>
    </row>
    <row r="6">
      <c r="A6" t="inlineStr">
        <is>
          <t>I₂/I_n 결함분 (I₂_fault/I_n, 시뮬 I₁ 기준) vs LUT I₂/I_n</t>
        </is>
      </c>
      <c r="B6" t="inlineStr">
        <is>
          <t>healthy</t>
        </is>
      </c>
      <c r="C6" t="n">
        <v>0</v>
      </c>
      <c r="D6" t="n">
        <v>0</v>
      </c>
      <c r="E6" t="n">
        <v>0.01</v>
      </c>
      <c r="G6" t="inlineStr">
        <is>
          <t>PASS</t>
        </is>
      </c>
      <c r="H6" t="inlineStr">
        <is>
          <t>시뮬 I₁ 4.6946 A (LUT 정상분 RMS, D3), LUT I₁ 4.69464 A</t>
        </is>
      </c>
      <c r="I6" t="inlineStr">
        <is>
          <t>LUT v2</t>
        </is>
      </c>
      <c r="J6" t="inlineStr">
        <is>
          <t>rel</t>
        </is>
      </c>
    </row>
    <row r="7">
      <c r="A7" t="inlineStr">
        <is>
          <t>I₁ 정상분 [A] vs LUT I₁</t>
        </is>
      </c>
      <c r="B7" t="inlineStr">
        <is>
          <t>healthy</t>
        </is>
      </c>
      <c r="C7" t="n">
        <v>4.69464</v>
      </c>
      <c r="D7" t="n">
        <v>4.69464</v>
      </c>
      <c r="E7" t="n">
        <v>0.01</v>
      </c>
      <c r="F7">
        <f>(C7/D7-1)*100</f>
        <v/>
      </c>
      <c r="G7">
        <f>IF(ABS(F7)&lt;=E7*100,"PASS","FAIL")</f>
        <v/>
      </c>
      <c r="H7" t="inlineStr">
        <is>
          <t>D3: 결함 시 상승(격자 보간)</t>
        </is>
      </c>
      <c r="I7" t="inlineStr">
        <is>
          <t>LUT v2</t>
        </is>
      </c>
      <c r="J7" t="inlineStr">
        <is>
          <t>rel</t>
        </is>
      </c>
    </row>
    <row r="8">
      <c r="A8" t="inlineStr">
        <is>
          <t>I₂/I_n 표시값 vs 시뮬 기대(합성×부하)</t>
        </is>
      </c>
      <c r="B8" t="inlineStr">
        <is>
          <t>healthy</t>
        </is>
      </c>
      <c r="C8" t="n">
        <v>0.0268</v>
      </c>
      <c r="D8" t="n">
        <v>0.026798</v>
      </c>
      <c r="E8" t="n">
        <v>0.01</v>
      </c>
      <c r="F8">
        <f>(C8/D8-1)*100</f>
        <v/>
      </c>
      <c r="G8">
        <f>IF(ABS(F8)&lt;=E8*100,"PASS","FAIL")</f>
        <v/>
      </c>
      <c r="H8" t="inlineStr">
        <is>
          <t>표시값 자체의 일관성</t>
        </is>
      </c>
      <c r="I8" t="inlineStr">
        <is>
          <t>LUT + inherent</t>
        </is>
      </c>
      <c r="J8" t="inlineStr">
        <is>
          <t>rel</t>
        </is>
      </c>
    </row>
    <row r="9">
      <c r="A9" t="inlineStr">
        <is>
          <t>상 불평형 max dev [%] vs LUT 합성 기대</t>
        </is>
      </c>
      <c r="B9" t="inlineStr">
        <is>
          <t>healthy</t>
        </is>
      </c>
      <c r="C9" t="n">
        <v>2.6806</v>
      </c>
      <c r="D9" t="n">
        <v>2.681</v>
      </c>
      <c r="E9" t="n">
        <v>0.02</v>
      </c>
      <c r="F9">
        <f>(C9/D9-1)*100</f>
        <v/>
      </c>
      <c r="G9">
        <f>IF(ABS(F9)&lt;=E9*100,"PASS","FAIL")</f>
        <v/>
      </c>
      <c r="H9" t="inlineStr">
        <is>
          <t>LUT 자체 0.0 % (LUT I₁ 기준)</t>
        </is>
      </c>
      <c r="I9" t="inlineStr">
        <is>
          <t>LUT + inherent</t>
        </is>
      </c>
      <c r="J9" t="inlineStr">
        <is>
          <t>rel</t>
        </is>
      </c>
    </row>
    <row r="10">
      <c r="A10" t="inlineStr">
        <is>
          <t>판정 (장면 끝 종합 상태) vs 예상</t>
        </is>
      </c>
      <c r="B10" t="inlineStr">
        <is>
          <t>healthy</t>
        </is>
      </c>
      <c r="C10" t="inlineStr">
        <is>
          <t>SAFE</t>
        </is>
      </c>
      <c r="D10" t="inlineStr">
        <is>
          <t>SAFE</t>
        </is>
      </c>
      <c r="G10">
        <f>IF(C10=D10,"PASS","FAIL")</f>
        <v/>
      </c>
      <c r="H10" t="inlineStr">
        <is>
          <t>원인 - 0.0 · i2i1 예상 SAFE</t>
        </is>
      </c>
      <c r="I10" t="inlineStr">
        <is>
          <t>thresholds.yaml</t>
        </is>
      </c>
      <c r="J10" t="inlineStr">
        <is>
          <t>match</t>
        </is>
      </c>
    </row>
    <row r="11">
      <c r="A11" t="inlineStr">
        <is>
          <t>정상 상태 (I₂/I₁ 마지막 5 s 표준편차 &lt; 1 %)</t>
        </is>
      </c>
      <c r="B11" t="inlineStr">
        <is>
          <t>itsc_4turn</t>
        </is>
      </c>
      <c r="C11" t="n">
        <v>0</v>
      </c>
      <c r="D11" t="n">
        <v>1</v>
      </c>
      <c r="G11" t="inlineStr">
        <is>
          <t>PASS</t>
        </is>
      </c>
      <c r="H11" t="inlineStr">
        <is>
          <t>n=87</t>
        </is>
      </c>
      <c r="I11" t="inlineStr">
        <is>
          <t>state.csv</t>
        </is>
      </c>
      <c r="J11" t="inlineStr">
        <is>
          <t>bool</t>
        </is>
      </c>
    </row>
    <row r="12">
      <c r="A12" t="inlineStr">
        <is>
          <t>I₂/I₁ 결함분 (합성 − 고유 비대칭 페이저)</t>
        </is>
      </c>
      <c r="B12" t="inlineStr">
        <is>
          <t>itsc_4turn</t>
        </is>
      </c>
      <c r="C12" t="n">
        <v>0.048965</v>
      </c>
      <c r="D12" t="n">
        <v>0.048815</v>
      </c>
      <c r="E12" t="n">
        <v>0.01</v>
      </c>
      <c r="F12">
        <f>(C12/D12-1)*100</f>
        <v/>
      </c>
      <c r="G12">
        <f>IF(ABS(F12)&lt;=E12*100,"PASS","FAIL")</f>
        <v/>
      </c>
      <c r="H12" t="inlineStr">
        <is>
          <t>합성 0.07262 ∠23.2°, 고유 0.027 ∠0°</t>
        </is>
      </c>
      <c r="I12" t="inlineStr">
        <is>
          <t>LUT v2 격자 (mccm_results)</t>
        </is>
      </c>
      <c r="J12" t="inlineStr">
        <is>
          <t>rel</t>
        </is>
      </c>
    </row>
    <row r="13">
      <c r="A13" t="inlineStr">
        <is>
          <t>I₂/I₁ 합성값 (범위 |r−h| ~ r+h)</t>
        </is>
      </c>
      <c r="B13" t="inlineStr">
        <is>
          <t>itsc_4turn</t>
        </is>
      </c>
      <c r="C13" t="n">
        <v>0.07262</v>
      </c>
      <c r="D13" t="inlineStr">
        <is>
          <t>0.021815~0.075815</t>
        </is>
      </c>
      <c r="G13">
        <f>IF(AND(C13&gt;=0.021815,C13&lt;=0.075815),"PASS","FAIL")</f>
        <v/>
      </c>
      <c r="H13" t="inlineStr">
        <is>
          <t>기대(각도 0°) 0.072474</t>
        </is>
      </c>
      <c r="I13" t="inlineStr">
        <is>
          <t>LUT + inherent</t>
        </is>
      </c>
      <c r="J13" t="inlineStr">
        <is>
          <t>range</t>
        </is>
      </c>
    </row>
    <row r="14">
      <c r="A14" t="inlineStr">
        <is>
          <t>I₂/I₁ 합성값 vs 기대(각도 0°)</t>
        </is>
      </c>
      <c r="B14" t="inlineStr">
        <is>
          <t>itsc_4turn</t>
        </is>
      </c>
      <c r="C14" t="n">
        <v>0.07262</v>
      </c>
      <c r="D14" t="n">
        <v>0.072474</v>
      </c>
      <c r="E14" t="n">
        <v>0.01</v>
      </c>
      <c r="F14">
        <f>(C14/D14-1)*100</f>
        <v/>
      </c>
      <c r="G14">
        <f>IF(ABS(F14)&lt;=E14*100,"PASS","FAIL")</f>
        <v/>
      </c>
      <c r="H14" t="inlineStr"/>
      <c r="I14" t="inlineStr">
        <is>
          <t>LUT + inherent</t>
        </is>
      </c>
      <c r="J14" t="inlineStr">
        <is>
          <t>rel</t>
        </is>
      </c>
    </row>
    <row r="15">
      <c r="A15" t="inlineStr">
        <is>
          <t>I₂/I_n 결함분 (I₂_fault/I_n, 시뮬 I₁ 기준) vs LUT I₂/I_n</t>
        </is>
      </c>
      <c r="B15" t="inlineStr">
        <is>
          <t>itsc_4turn</t>
        </is>
      </c>
      <c r="C15" t="n">
        <v>0.05059</v>
      </c>
      <c r="D15" t="n">
        <v>0.050428</v>
      </c>
      <c r="E15" t="n">
        <v>0.01</v>
      </c>
      <c r="F15">
        <f>(C15/D15-1)*100</f>
        <v/>
      </c>
      <c r="G15">
        <f>IF(ABS(F15)&lt;=E15*100,"PASS","FAIL")</f>
        <v/>
      </c>
      <c r="H15" t="inlineStr">
        <is>
          <t>시뮬 I₁ 4.8870 A (LUT 정상분 RMS, D3), LUT I₁ 4.88627 A</t>
        </is>
      </c>
      <c r="I15" t="inlineStr">
        <is>
          <t>LUT v2</t>
        </is>
      </c>
      <c r="J15" t="inlineStr">
        <is>
          <t>rel</t>
        </is>
      </c>
    </row>
    <row r="16">
      <c r="A16" t="inlineStr">
        <is>
          <t>I₁ 정상분 [A] vs LUT I₁</t>
        </is>
      </c>
      <c r="B16" t="inlineStr">
        <is>
          <t>itsc_4turn</t>
        </is>
      </c>
      <c r="C16" t="n">
        <v>4.88697</v>
      </c>
      <c r="D16" t="n">
        <v>4.88627</v>
      </c>
      <c r="E16" t="n">
        <v>0.01</v>
      </c>
      <c r="F16">
        <f>(C16/D16-1)*100</f>
        <v/>
      </c>
      <c r="G16">
        <f>IF(ABS(F16)&lt;=E16*100,"PASS","FAIL")</f>
        <v/>
      </c>
      <c r="H16" t="inlineStr">
        <is>
          <t>D3: 결함 시 상승(격자 보간)</t>
        </is>
      </c>
      <c r="I16" t="inlineStr">
        <is>
          <t>LUT v2</t>
        </is>
      </c>
      <c r="J16" t="inlineStr">
        <is>
          <t>rel</t>
        </is>
      </c>
    </row>
    <row r="17">
      <c r="A17" t="inlineStr">
        <is>
          <t>I₂/I_n 표시값 vs 시뮬 기대(합성×부하)</t>
        </is>
      </c>
      <c r="B17" t="inlineStr">
        <is>
          <t>itsc_4turn</t>
        </is>
      </c>
      <c r="C17" t="n">
        <v>0.07503</v>
      </c>
      <c r="D17" t="n">
        <v>0.074868</v>
      </c>
      <c r="E17" t="n">
        <v>0.01</v>
      </c>
      <c r="F17">
        <f>(C17/D17-1)*100</f>
        <v/>
      </c>
      <c r="G17">
        <f>IF(ABS(F17)&lt;=E17*100,"PASS","FAIL")</f>
        <v/>
      </c>
      <c r="H17" t="inlineStr">
        <is>
          <t>표시값 자체의 일관성</t>
        </is>
      </c>
      <c r="I17" t="inlineStr">
        <is>
          <t>LUT + inherent</t>
        </is>
      </c>
      <c r="J17" t="inlineStr">
        <is>
          <t>rel</t>
        </is>
      </c>
    </row>
    <row r="18">
      <c r="A18" t="inlineStr">
        <is>
          <t>상 불평형 max dev [%] vs LUT 합성 기대</t>
        </is>
      </c>
      <c r="B18" t="inlineStr">
        <is>
          <t>itsc_4turn</t>
        </is>
      </c>
      <c r="C18" t="n">
        <v>6.572</v>
      </c>
      <c r="D18" t="n">
        <v>6.5603</v>
      </c>
      <c r="E18" t="n">
        <v>0.02</v>
      </c>
      <c r="F18">
        <f>(C18/D18-1)*100</f>
        <v/>
      </c>
      <c r="G18">
        <f>IF(ABS(F18)&lt;=E18*100,"PASS","FAIL")</f>
        <v/>
      </c>
      <c r="H18" t="inlineStr">
        <is>
          <t>LUT 자체 4.4846 % (LUT I₁ 기준)</t>
        </is>
      </c>
      <c r="I18" t="inlineStr">
        <is>
          <t>LUT + inherent</t>
        </is>
      </c>
      <c r="J18" t="inlineStr">
        <is>
          <t>rel</t>
        </is>
      </c>
    </row>
    <row r="19">
      <c r="A19" t="inlineStr">
        <is>
          <t>단락 루프 전류 I_f [A] vs MCCM</t>
        </is>
      </c>
      <c r="B19" t="inlineStr">
        <is>
          <t>itsc_4turn</t>
        </is>
      </c>
      <c r="C19" t="n">
        <v>34.381</v>
      </c>
      <c r="D19" t="n">
        <v>34.3475</v>
      </c>
      <c r="E19" t="n">
        <v>0.01</v>
      </c>
      <c r="F19">
        <f>(C19/D19-1)*100</f>
        <v/>
      </c>
      <c r="G19">
        <f>IF(ABS(F19)&lt;=E19*100,"PASS","FAIL")</f>
        <v/>
      </c>
      <c r="H19" t="inlineStr">
        <is>
          <t>FEM(F1 보정) 35.16 A 참고</t>
        </is>
      </c>
      <c r="I19" t="inlineStr">
        <is>
          <t>mccm_results.json</t>
        </is>
      </c>
      <c r="J19" t="inlineStr">
        <is>
          <t>rel</t>
        </is>
      </c>
    </row>
    <row r="20">
      <c r="A20" t="inlineStr">
        <is>
          <t>I_f [A] vs 2D FEM(F1 보정) — 참고 열</t>
        </is>
      </c>
      <c r="B20" t="inlineStr">
        <is>
          <t>itsc_4turn</t>
        </is>
      </c>
      <c r="C20" t="n">
        <v>34.381</v>
      </c>
      <c r="D20" t="n">
        <v>35.15508007133644</v>
      </c>
      <c r="E20" t="n">
        <v>0.05</v>
      </c>
      <c r="F20">
        <f>(C20/D20-1)*100</f>
        <v/>
      </c>
      <c r="G20">
        <f>IF(ABS(F20)&lt;=E20*100,"PASS","FAIL")</f>
        <v/>
      </c>
      <c r="H20" t="inlineStr">
        <is>
          <t>참고(±5 % MCCM↔FEM 정합 범위)</t>
        </is>
      </c>
      <c r="I20" t="inlineStr">
        <is>
          <t>f2_corrections.json F1</t>
        </is>
      </c>
      <c r="J20" t="inlineStr">
        <is>
          <t>rel</t>
        </is>
      </c>
    </row>
    <row r="21">
      <c r="A21" t="inlineStr">
        <is>
          <t>단락 루프 총손실 [W] vs I_f²(R_f+μR1_hot)+단락턴 동손 (MCCM)</t>
        </is>
      </c>
      <c r="B21" t="inlineStr">
        <is>
          <t>itsc_4turn</t>
        </is>
      </c>
      <c r="C21" t="n">
        <v>158.1</v>
      </c>
      <c r="D21" t="n">
        <v>157.539</v>
      </c>
      <c r="E21" t="n">
        <v>0.02</v>
      </c>
      <c r="F21">
        <f>(C21/D21-1)*100</f>
        <v/>
      </c>
      <c r="G21">
        <f>IF(ABS(F21)&lt;=E21*100,"PASS","FAIL")</f>
        <v/>
      </c>
      <c r="H21" t="inlineStr">
        <is>
          <t>공식(루프 저항항만) 157.5 W</t>
        </is>
      </c>
      <c r="I21" t="inlineStr">
        <is>
          <t>mccm_results.json</t>
        </is>
      </c>
      <c r="J21" t="inlineStr">
        <is>
          <t>rel</t>
        </is>
      </c>
    </row>
    <row r="22">
      <c r="A22" t="inlineStr">
        <is>
          <t>판정 (장면 끝 종합 상태) vs 예상</t>
        </is>
      </c>
      <c r="B22" t="inlineStr">
        <is>
          <t>itsc_4turn</t>
        </is>
      </c>
      <c r="C22" t="inlineStr">
        <is>
          <t>WARN</t>
        </is>
      </c>
      <c r="D22" t="inlineStr">
        <is>
          <t>WARN</t>
        </is>
      </c>
      <c r="G22">
        <f>IF(C22=D22,"PASS","FAIL")</f>
        <v/>
      </c>
      <c r="H22" t="inlineStr">
        <is>
          <t>원인 i2i1 0.0726 · i2i1 예상 WARN</t>
        </is>
      </c>
      <c r="I22" t="inlineStr">
        <is>
          <t>thresholds.yaml</t>
        </is>
      </c>
      <c r="J22" t="inlineStr">
        <is>
          <t>match</t>
        </is>
      </c>
    </row>
    <row r="23">
      <c r="A23" t="inlineStr">
        <is>
          <t>탐지 지연 [s] (주입 → 첫 상향, 지속 3 s 규칙)</t>
        </is>
      </c>
      <c r="B23" t="inlineStr">
        <is>
          <t>itsc_4turn</t>
        </is>
      </c>
      <c r="C23" t="n">
        <v>2.98</v>
      </c>
      <c r="D23" t="n">
        <v>3</v>
      </c>
      <c r="E23" t="n">
        <v>0.2</v>
      </c>
      <c r="F23">
        <f>(C23/D23-1)*100</f>
        <v/>
      </c>
      <c r="G23">
        <f>IF(ABS(F23)&lt;=E23*100,"PASS","FAIL")</f>
        <v/>
      </c>
      <c r="H23" t="inlineStr">
        <is>
          <t>첫 WARN</t>
        </is>
      </c>
      <c r="I23" t="inlineStr">
        <is>
          <t>thresholds.yaml persistence_s</t>
        </is>
      </c>
      <c r="J23" t="inlineStr">
        <is>
          <t>rel</t>
        </is>
      </c>
    </row>
    <row r="24">
      <c r="A24" t="inlineStr">
        <is>
          <t>정상 상태 (I₂/I₁ 마지막 5 s 표준편차 &lt; 1 %)</t>
        </is>
      </c>
      <c r="B24" t="inlineStr">
        <is>
          <t>itsc_12turn</t>
        </is>
      </c>
      <c r="C24" t="n">
        <v>0</v>
      </c>
      <c r="D24" t="n">
        <v>1</v>
      </c>
      <c r="G24" t="inlineStr">
        <is>
          <t>PASS</t>
        </is>
      </c>
      <c r="H24" t="inlineStr">
        <is>
          <t>n=86</t>
        </is>
      </c>
      <c r="I24" t="inlineStr">
        <is>
          <t>state.csv</t>
        </is>
      </c>
      <c r="J24" t="inlineStr">
        <is>
          <t>bool</t>
        </is>
      </c>
    </row>
    <row r="25">
      <c r="A25" t="inlineStr">
        <is>
          <t>I₂/I₁ 결함분 (합성 − 고유 비대칭 페이저)</t>
        </is>
      </c>
      <c r="B25" t="inlineStr">
        <is>
          <t>itsc_12turn</t>
        </is>
      </c>
      <c r="C25" t="n">
        <v>0.245515</v>
      </c>
      <c r="D25" t="n">
        <v>0.245513</v>
      </c>
      <c r="E25" t="n">
        <v>0.01</v>
      </c>
      <c r="F25">
        <f>(C25/D25-1)*100</f>
        <v/>
      </c>
      <c r="G25">
        <f>IF(ABS(F25)&lt;=E25*100,"PASS","FAIL")</f>
        <v/>
      </c>
      <c r="H25" t="inlineStr">
        <is>
          <t>합성 0.26958 ∠25.6°, 고유 0.027 ∠0°</t>
        </is>
      </c>
      <c r="I25" t="inlineStr">
        <is>
          <t>LUT v2 격자 (mccm_results)</t>
        </is>
      </c>
      <c r="J25" t="inlineStr">
        <is>
          <t>rel</t>
        </is>
      </c>
    </row>
    <row r="26">
      <c r="A26" t="inlineStr">
        <is>
          <t>I₂/I₁ 합성값 (범위 |r−h| ~ r+h)</t>
        </is>
      </c>
      <c r="B26" t="inlineStr">
        <is>
          <t>itsc_12turn</t>
        </is>
      </c>
      <c r="C26" t="n">
        <v>0.26958</v>
      </c>
      <c r="D26" t="inlineStr">
        <is>
          <t>0.218513~0.272513</t>
        </is>
      </c>
      <c r="G26">
        <f>IF(AND(C26&gt;=0.218513,C26&lt;=0.272513),"PASS","FAIL")</f>
        <v/>
      </c>
      <c r="H26" t="inlineStr">
        <is>
          <t>기대(각도 0°) 0.269578</t>
        </is>
      </c>
      <c r="I26" t="inlineStr">
        <is>
          <t>LUT + inherent</t>
        </is>
      </c>
      <c r="J26" t="inlineStr">
        <is>
          <t>range</t>
        </is>
      </c>
    </row>
    <row r="27">
      <c r="A27" t="inlineStr">
        <is>
          <t>I₂/I₁ 합성값 vs 기대(각도 0°)</t>
        </is>
      </c>
      <c r="B27" t="inlineStr">
        <is>
          <t>itsc_12turn</t>
        </is>
      </c>
      <c r="C27" t="n">
        <v>0.26958</v>
      </c>
      <c r="D27" t="n">
        <v>0.269578</v>
      </c>
      <c r="E27" t="n">
        <v>0.01</v>
      </c>
      <c r="F27">
        <f>(C27/D27-1)*100</f>
        <v/>
      </c>
      <c r="G27">
        <f>IF(ABS(F27)&lt;=E27*100,"PASS","FAIL")</f>
        <v/>
      </c>
      <c r="H27" t="inlineStr"/>
      <c r="I27" t="inlineStr">
        <is>
          <t>LUT + inherent</t>
        </is>
      </c>
      <c r="J27" t="inlineStr">
        <is>
          <t>rel</t>
        </is>
      </c>
    </row>
    <row r="28">
      <c r="A28" t="inlineStr">
        <is>
          <t>I₂/I_n 결함분 (I₂_fault/I_n, 시뮬 I₁ 기준) vs LUT I₂/I_n</t>
        </is>
      </c>
      <c r="B28" t="inlineStr">
        <is>
          <t>itsc_12turn</t>
        </is>
      </c>
      <c r="C28" t="n">
        <v>0.307452</v>
      </c>
      <c r="D28" t="n">
        <v>0.307449</v>
      </c>
      <c r="E28" t="n">
        <v>0.01</v>
      </c>
      <c r="F28">
        <f>(C28/D28-1)*100</f>
        <v/>
      </c>
      <c r="G28">
        <f>IF(ABS(F28)&lt;=E28*100,"PASS","FAIL")</f>
        <v/>
      </c>
      <c r="H28" t="inlineStr">
        <is>
          <t>시뮬 I₁ 5.9233 A (LUT 정상분 RMS, D3), LUT I₁ 5.92325 A</t>
        </is>
      </c>
      <c r="I28" t="inlineStr">
        <is>
          <t>LUT v2</t>
        </is>
      </c>
      <c r="J28" t="inlineStr">
        <is>
          <t>rel</t>
        </is>
      </c>
    </row>
    <row r="29">
      <c r="A29" t="inlineStr">
        <is>
          <t>I₁ 정상분 [A] vs LUT I₁</t>
        </is>
      </c>
      <c r="B29" t="inlineStr">
        <is>
          <t>itsc_12turn</t>
        </is>
      </c>
      <c r="C29" t="n">
        <v>5.92325</v>
      </c>
      <c r="D29" t="n">
        <v>5.92325</v>
      </c>
      <c r="E29" t="n">
        <v>0.01</v>
      </c>
      <c r="F29">
        <f>(C29/D29-1)*100</f>
        <v/>
      </c>
      <c r="G29">
        <f>IF(ABS(F29)&lt;=E29*100,"PASS","FAIL")</f>
        <v/>
      </c>
      <c r="H29" t="inlineStr">
        <is>
          <t>D3: 결함 시 상승(격자 보간)</t>
        </is>
      </c>
      <c r="I29" t="inlineStr">
        <is>
          <t>LUT v2</t>
        </is>
      </c>
      <c r="J29" t="inlineStr">
        <is>
          <t>rel</t>
        </is>
      </c>
    </row>
    <row r="30">
      <c r="A30" t="inlineStr">
        <is>
          <t>I₂/I_n 표시값 vs 시뮬 기대(합성×부하)</t>
        </is>
      </c>
      <c r="B30" t="inlineStr">
        <is>
          <t>itsc_12turn</t>
        </is>
      </c>
      <c r="C30" t="n">
        <v>0.33759</v>
      </c>
      <c r="D30" t="n">
        <v>0.337585</v>
      </c>
      <c r="E30" t="n">
        <v>0.01</v>
      </c>
      <c r="F30">
        <f>(C30/D30-1)*100</f>
        <v/>
      </c>
      <c r="G30">
        <f>IF(ABS(F30)&lt;=E30*100,"PASS","FAIL")</f>
        <v/>
      </c>
      <c r="H30" t="inlineStr">
        <is>
          <t>표시값 자체의 일관성</t>
        </is>
      </c>
      <c r="I30" t="inlineStr">
        <is>
          <t>LUT + inherent</t>
        </is>
      </c>
      <c r="J30" t="inlineStr">
        <is>
          <t>rel</t>
        </is>
      </c>
    </row>
    <row r="31">
      <c r="A31" t="inlineStr">
        <is>
          <t>상 불평형 max dev [%] vs LUT 합성 기대</t>
        </is>
      </c>
      <c r="B31" t="inlineStr">
        <is>
          <t>itsc_12turn</t>
        </is>
      </c>
      <c r="C31" t="n">
        <v>22.546</v>
      </c>
      <c r="D31" t="n">
        <v>22.5458</v>
      </c>
      <c r="E31" t="n">
        <v>0.02</v>
      </c>
      <c r="F31">
        <f>(C31/D31-1)*100</f>
        <v/>
      </c>
      <c r="G31">
        <f>IF(ABS(F31)&lt;=E31*100,"PASS","FAIL")</f>
        <v/>
      </c>
      <c r="H31" t="inlineStr">
        <is>
          <t>LUT 자체 21.067 % (LUT I₁ 기준)</t>
        </is>
      </c>
      <c r="I31" t="inlineStr">
        <is>
          <t>LUT + inherent</t>
        </is>
      </c>
      <c r="J31" t="inlineStr">
        <is>
          <t>rel</t>
        </is>
      </c>
    </row>
    <row r="32">
      <c r="A32" t="inlineStr">
        <is>
          <t>단락 루프 전류 I_f [A] vs MCCM</t>
        </is>
      </c>
      <c r="B32" t="inlineStr">
        <is>
          <t>itsc_12turn</t>
        </is>
      </c>
      <c r="C32" t="n">
        <v>69.80329999999999</v>
      </c>
      <c r="D32" t="n">
        <v>69.80329999999999</v>
      </c>
      <c r="E32" t="n">
        <v>0.01</v>
      </c>
      <c r="F32">
        <f>(C32/D32-1)*100</f>
        <v/>
      </c>
      <c r="G32">
        <f>IF(ABS(F32)&lt;=E32*100,"PASS","FAIL")</f>
        <v/>
      </c>
      <c r="H32" t="inlineStr"/>
      <c r="I32" t="inlineStr">
        <is>
          <t>mccm_results.json</t>
        </is>
      </c>
      <c r="J32" t="inlineStr">
        <is>
          <t>rel</t>
        </is>
      </c>
    </row>
    <row r="33">
      <c r="A33" t="inlineStr">
        <is>
          <t>단락 루프 총손실 [W] vs I_f²(R_f+μR1_hot)+단락턴 동손 (MCCM)</t>
        </is>
      </c>
      <c r="B33" t="inlineStr">
        <is>
          <t>itsc_12turn</t>
        </is>
      </c>
      <c r="C33" t="n">
        <v>977.46</v>
      </c>
      <c r="D33" t="n">
        <v>977.462</v>
      </c>
      <c r="E33" t="n">
        <v>0.02</v>
      </c>
      <c r="F33">
        <f>(C33/D33-1)*100</f>
        <v/>
      </c>
      <c r="G33">
        <f>IF(ABS(F33)&lt;=E33*100,"PASS","FAIL")</f>
        <v/>
      </c>
      <c r="H33" t="inlineStr">
        <is>
          <t>공식(루프 저항항만) 977.5 W</t>
        </is>
      </c>
      <c r="I33" t="inlineStr">
        <is>
          <t>mccm_results.json</t>
        </is>
      </c>
      <c r="J33" t="inlineStr">
        <is>
          <t>rel</t>
        </is>
      </c>
    </row>
    <row r="34">
      <c r="A34" t="inlineStr">
        <is>
          <t>판정 (장면 끝 종합 상태) vs 예상</t>
        </is>
      </c>
      <c r="B34" t="inlineStr">
        <is>
          <t>itsc_12turn</t>
        </is>
      </c>
      <c r="C34" t="inlineStr">
        <is>
          <t>DANGER</t>
        </is>
      </c>
      <c r="D34" t="inlineStr">
        <is>
          <t>DANGER</t>
        </is>
      </c>
      <c r="G34">
        <f>IF(C34=D34,"PASS","FAIL")</f>
        <v/>
      </c>
      <c r="H34" t="inlineStr">
        <is>
          <t>원인 i2i1 0.2696 · i2i1 예상 DANGER</t>
        </is>
      </c>
      <c r="I34" t="inlineStr">
        <is>
          <t>thresholds.yaml</t>
        </is>
      </c>
      <c r="J34" t="inlineStr">
        <is>
          <t>match</t>
        </is>
      </c>
    </row>
    <row r="35">
      <c r="A35" t="inlineStr">
        <is>
          <t>탐지 지연 [s] (주입 → 첫 상향, 지속 3 s 규칙)</t>
        </is>
      </c>
      <c r="B35" t="inlineStr">
        <is>
          <t>itsc_12turn</t>
        </is>
      </c>
      <c r="C35" t="n">
        <v>3.03</v>
      </c>
      <c r="D35" t="n">
        <v>3</v>
      </c>
      <c r="E35" t="n">
        <v>0.2</v>
      </c>
      <c r="F35">
        <f>(C35/D35-1)*100</f>
        <v/>
      </c>
      <c r="G35">
        <f>IF(ABS(F35)&lt;=E35*100,"PASS","FAIL")</f>
        <v/>
      </c>
      <c r="H35" t="inlineStr">
        <is>
          <t>첫 DANGER</t>
        </is>
      </c>
      <c r="I35" t="inlineStr">
        <is>
          <t>thresholds.yaml persistence_s</t>
        </is>
      </c>
      <c r="J35" t="inlineStr">
        <is>
          <t>rel</t>
        </is>
      </c>
    </row>
    <row r="36">
      <c r="A36" t="inlineStr">
        <is>
          <t>정상 상태 (I₂/I₁ 마지막 5 s 표준편차 &lt; 1 %)</t>
        </is>
      </c>
      <c r="B36" t="inlineStr">
        <is>
          <t>overload</t>
        </is>
      </c>
      <c r="C36" t="n">
        <v>0</v>
      </c>
      <c r="D36" t="n">
        <v>1</v>
      </c>
      <c r="G36" t="inlineStr">
        <is>
          <t>PASS</t>
        </is>
      </c>
      <c r="H36" t="inlineStr">
        <is>
          <t>n=86</t>
        </is>
      </c>
      <c r="I36" t="inlineStr">
        <is>
          <t>state.csv</t>
        </is>
      </c>
      <c r="J36" t="inlineStr">
        <is>
          <t>bool</t>
        </is>
      </c>
    </row>
    <row r="37">
      <c r="A37" t="inlineStr">
        <is>
          <t>정상 상태 (I₂/I₁ 마지막 5 s 표준편차 &lt; 1 %)</t>
        </is>
      </c>
      <c r="B37" t="inlineStr">
        <is>
          <t>voltage_unbalance</t>
        </is>
      </c>
      <c r="C37" t="n">
        <v>0</v>
      </c>
      <c r="D37" t="n">
        <v>1</v>
      </c>
      <c r="G37" t="inlineStr">
        <is>
          <t>PASS</t>
        </is>
      </c>
      <c r="H37" t="inlineStr">
        <is>
          <t>n=91</t>
        </is>
      </c>
      <c r="I37" t="inlineStr">
        <is>
          <t>state.csv</t>
        </is>
      </c>
      <c r="J37" t="inlineStr">
        <is>
          <t>bool</t>
        </is>
      </c>
    </row>
    <row r="38">
      <c r="A38" t="inlineStr">
        <is>
          <t>정상 상태 (I₂/I₁ 마지막 5 s 표준편차 &lt; 1 %)</t>
        </is>
      </c>
      <c r="B38" t="inlineStr">
        <is>
          <t>single_phasing</t>
        </is>
      </c>
      <c r="C38" t="n">
        <v>0</v>
      </c>
      <c r="D38" t="n">
        <v>1</v>
      </c>
      <c r="G38" t="inlineStr">
        <is>
          <t>PASS</t>
        </is>
      </c>
      <c r="H38" t="inlineStr">
        <is>
          <t>n=89</t>
        </is>
      </c>
      <c r="I38" t="inlineStr">
        <is>
          <t>state.csv</t>
        </is>
      </c>
      <c r="J38" t="inlineStr">
        <is>
          <t>bool</t>
        </is>
      </c>
    </row>
    <row r="39">
      <c r="A39" t="inlineStr">
        <is>
          <t>정상 상태 (I₂/I₁ 마지막 5 s 표준편차 &lt; 1 %)</t>
        </is>
      </c>
      <c r="B39" t="inlineStr">
        <is>
          <t>no_load</t>
        </is>
      </c>
      <c r="C39" t="n">
        <v>0</v>
      </c>
      <c r="D39" t="n">
        <v>1</v>
      </c>
      <c r="G39" t="inlineStr">
        <is>
          <t>PASS</t>
        </is>
      </c>
      <c r="H39" t="inlineStr">
        <is>
          <t>n=87</t>
        </is>
      </c>
      <c r="I39" t="inlineStr">
        <is>
          <t>state.csv</t>
        </is>
      </c>
      <c r="J39" t="inlineStr">
        <is>
          <t>bool</t>
        </is>
      </c>
    </row>
    <row r="40">
      <c r="A40" t="inlineStr">
        <is>
          <t>정상 상태 (I₂/I₁ 마지막 5 s 표준편차 &lt; 1 %)</t>
        </is>
      </c>
      <c r="B40" t="inlineStr">
        <is>
          <t>itsc_8turn</t>
        </is>
      </c>
      <c r="C40" t="n">
        <v>0</v>
      </c>
      <c r="D40" t="n">
        <v>1</v>
      </c>
      <c r="G40" t="inlineStr">
        <is>
          <t>PASS</t>
        </is>
      </c>
      <c r="H40" t="inlineStr">
        <is>
          <t>n=88</t>
        </is>
      </c>
      <c r="I40" t="inlineStr">
        <is>
          <t>state.csv</t>
        </is>
      </c>
      <c r="J40" t="inlineStr">
        <is>
          <t>bool</t>
        </is>
      </c>
    </row>
    <row r="41">
      <c r="A41" t="inlineStr">
        <is>
          <t>I₂/I₁ 결함분 (합성 − 고유 비대칭 페이저)</t>
        </is>
      </c>
      <c r="B41" t="inlineStr">
        <is>
          <t>itsc_8turn</t>
        </is>
      </c>
      <c r="C41" t="n">
        <v>0.144095</v>
      </c>
      <c r="D41" t="n">
        <v>0.14425</v>
      </c>
      <c r="E41" t="n">
        <v>0.01</v>
      </c>
      <c r="F41">
        <f>(C41/D41-1)*100</f>
        <v/>
      </c>
      <c r="G41">
        <f>IF(ABS(F41)&lt;=E41*100,"PASS","FAIL")</f>
        <v/>
      </c>
      <c r="H41" t="inlineStr">
        <is>
          <t>합성 0.16757 ∠27.2°, 고유 0.027 ∠0°</t>
        </is>
      </c>
      <c r="I41" t="inlineStr">
        <is>
          <t>LUT v2 격자 (mccm_results)</t>
        </is>
      </c>
      <c r="J41" t="inlineStr">
        <is>
          <t>rel</t>
        </is>
      </c>
    </row>
    <row r="42">
      <c r="A42" t="inlineStr">
        <is>
          <t>I₂/I₁ 합성값 (범위 |r−h| ~ r+h)</t>
        </is>
      </c>
      <c r="B42" t="inlineStr">
        <is>
          <t>itsc_8turn</t>
        </is>
      </c>
      <c r="C42" t="n">
        <v>0.16757</v>
      </c>
      <c r="D42" t="inlineStr">
        <is>
          <t>0.11725~0.17125</t>
        </is>
      </c>
      <c r="G42">
        <f>IF(AND(C42&gt;=0.11725,C42&lt;=0.17125),"PASS","FAIL")</f>
        <v/>
      </c>
      <c r="H42" t="inlineStr">
        <is>
          <t>기대(각도 0°) 0.167724</t>
        </is>
      </c>
      <c r="I42" t="inlineStr">
        <is>
          <t>LUT + inherent</t>
        </is>
      </c>
      <c r="J42" t="inlineStr">
        <is>
          <t>range</t>
        </is>
      </c>
    </row>
    <row r="43">
      <c r="A43" t="inlineStr">
        <is>
          <t>I₂/I₁ 합성값 vs 기대(각도 0°)</t>
        </is>
      </c>
      <c r="B43" t="inlineStr">
        <is>
          <t>itsc_8turn</t>
        </is>
      </c>
      <c r="C43" t="n">
        <v>0.16757</v>
      </c>
      <c r="D43" t="n">
        <v>0.167724</v>
      </c>
      <c r="E43" t="n">
        <v>0.01</v>
      </c>
      <c r="F43">
        <f>(C43/D43-1)*100</f>
        <v/>
      </c>
      <c r="G43">
        <f>IF(ABS(F43)&lt;=E43*100,"PASS","FAIL")</f>
        <v/>
      </c>
      <c r="H43" t="inlineStr"/>
      <c r="I43" t="inlineStr">
        <is>
          <t>LUT + inherent</t>
        </is>
      </c>
      <c r="J43" t="inlineStr">
        <is>
          <t>rel</t>
        </is>
      </c>
    </row>
    <row r="44">
      <c r="A44" t="inlineStr">
        <is>
          <t>I₂/I_n 결함분 (I₂_fault/I_n, 시뮬 I₁ 기준) vs LUT I₂/I_n</t>
        </is>
      </c>
      <c r="B44" t="inlineStr">
        <is>
          <t>itsc_8turn</t>
        </is>
      </c>
      <c r="C44" t="n">
        <v>0.162272</v>
      </c>
      <c r="D44" t="n">
        <v>0.162467</v>
      </c>
      <c r="E44" t="n">
        <v>0.01</v>
      </c>
      <c r="F44">
        <f>(C44/D44-1)*100</f>
        <v/>
      </c>
      <c r="G44">
        <f>IF(ABS(F44)&lt;=E44*100,"PASS","FAIL")</f>
        <v/>
      </c>
      <c r="H44" t="inlineStr">
        <is>
          <t>시뮬 I₁ 5.3266 A (LUT 정상분 RMS, D3), LUT I₁ 5.32735 A</t>
        </is>
      </c>
      <c r="I44" t="inlineStr">
        <is>
          <t>LUT v2</t>
        </is>
      </c>
      <c r="J44" t="inlineStr">
        <is>
          <t>rel</t>
        </is>
      </c>
    </row>
    <row r="45">
      <c r="A45" t="inlineStr">
        <is>
          <t>I₁ 정상분 [A] vs LUT I₁</t>
        </is>
      </c>
      <c r="B45" t="inlineStr">
        <is>
          <t>itsc_8turn</t>
        </is>
      </c>
      <c r="C45" t="n">
        <v>5.32665</v>
      </c>
      <c r="D45" t="n">
        <v>5.32735</v>
      </c>
      <c r="E45" t="n">
        <v>0.01</v>
      </c>
      <c r="F45">
        <f>(C45/D45-1)*100</f>
        <v/>
      </c>
      <c r="G45">
        <f>IF(ABS(F45)&lt;=E45*100,"PASS","FAIL")</f>
        <v/>
      </c>
      <c r="H45" t="inlineStr">
        <is>
          <t>D3: 결함 시 상승(격자 보간)</t>
        </is>
      </c>
      <c r="I45" t="inlineStr">
        <is>
          <t>LUT v2</t>
        </is>
      </c>
      <c r="J45" t="inlineStr">
        <is>
          <t>rel</t>
        </is>
      </c>
    </row>
    <row r="46">
      <c r="A46" t="inlineStr">
        <is>
          <t>I₂/I_n 표시값 vs 시뮬 기대(합성×부하)</t>
        </is>
      </c>
      <c r="B46" t="inlineStr">
        <is>
          <t>itsc_8turn</t>
        </is>
      </c>
      <c r="C46" t="n">
        <v>0.18871</v>
      </c>
      <c r="D46" t="n">
        <v>0.188906</v>
      </c>
      <c r="E46" t="n">
        <v>0.01</v>
      </c>
      <c r="F46">
        <f>(C46/D46-1)*100</f>
        <v/>
      </c>
      <c r="G46">
        <f>IF(ABS(F46)&lt;=E46*100,"PASS","FAIL")</f>
        <v/>
      </c>
      <c r="H46" t="inlineStr">
        <is>
          <t>표시값 자체의 일관성</t>
        </is>
      </c>
      <c r="I46" t="inlineStr">
        <is>
          <t>LUT + inherent</t>
        </is>
      </c>
      <c r="J46" t="inlineStr">
        <is>
          <t>rel</t>
        </is>
      </c>
    </row>
    <row r="47">
      <c r="A47" t="inlineStr">
        <is>
          <t>상 불평형 max dev [%] vs LUT 합성 기대</t>
        </is>
      </c>
      <c r="B47" t="inlineStr">
        <is>
          <t>itsc_8turn</t>
        </is>
      </c>
      <c r="C47" t="n">
        <v>14.341</v>
      </c>
      <c r="D47" t="n">
        <v>14.3526</v>
      </c>
      <c r="E47" t="n">
        <v>0.02</v>
      </c>
      <c r="F47">
        <f>(C47/D47-1)*100</f>
        <v/>
      </c>
      <c r="G47">
        <f>IF(ABS(F47)&lt;=E47*100,"PASS","FAIL")</f>
        <v/>
      </c>
      <c r="H47" t="inlineStr">
        <is>
          <t>LUT 자체 12.9454 % (LUT I₁ 기준)</t>
        </is>
      </c>
      <c r="I47" t="inlineStr">
        <is>
          <t>LUT + inherent</t>
        </is>
      </c>
      <c r="J47" t="inlineStr">
        <is>
          <t>rel</t>
        </is>
      </c>
    </row>
    <row r="48">
      <c r="A48" t="inlineStr">
        <is>
          <t>단락 루프 총손실 [W] vs I_f²(R_f+μR1_hot)+단락턴 동손 (MCCM)</t>
        </is>
      </c>
      <c r="B48" t="inlineStr">
        <is>
          <t>itsc_8turn</t>
        </is>
      </c>
      <c r="C48" t="n">
        <v>510.91</v>
      </c>
      <c r="D48" t="n">
        <v>511.473</v>
      </c>
      <c r="E48" t="n">
        <v>0.02</v>
      </c>
      <c r="F48">
        <f>(C48/D48-1)*100</f>
        <v/>
      </c>
      <c r="G48">
        <f>IF(ABS(F48)&lt;=E48*100,"PASS","FAIL")</f>
        <v/>
      </c>
      <c r="H48" t="inlineStr">
        <is>
          <t>공식(루프 저항항만) 511.5 W</t>
        </is>
      </c>
      <c r="I48" t="inlineStr">
        <is>
          <t>mccm_results.json</t>
        </is>
      </c>
      <c r="J48" t="inlineStr">
        <is>
          <t>rel</t>
        </is>
      </c>
    </row>
    <row r="49">
      <c r="A49" t="inlineStr">
        <is>
          <t>판정 (장면 끝 종합 상태) vs 예상</t>
        </is>
      </c>
      <c r="B49" t="inlineStr">
        <is>
          <t>itsc_8turn</t>
        </is>
      </c>
      <c r="C49" t="inlineStr">
        <is>
          <t>DANGER</t>
        </is>
      </c>
      <c r="D49" t="inlineStr">
        <is>
          <t>DANGER</t>
        </is>
      </c>
      <c r="G49">
        <f>IF(C49=D49,"PASS","FAIL")</f>
        <v/>
      </c>
      <c r="H49" t="inlineStr">
        <is>
          <t>원인 i2i1 0.1676 · i2i1 예상 DANGER</t>
        </is>
      </c>
      <c r="I49" t="inlineStr">
        <is>
          <t>thresholds.yaml</t>
        </is>
      </c>
      <c r="J49" t="inlineStr">
        <is>
          <t>match</t>
        </is>
      </c>
    </row>
    <row r="50">
      <c r="A50" t="inlineStr">
        <is>
          <t>탐지 지연 [s] (주입 → 첫 상향, 지속 3 s 규칙)</t>
        </is>
      </c>
      <c r="B50" t="inlineStr">
        <is>
          <t>itsc_8turn</t>
        </is>
      </c>
      <c r="C50" t="n">
        <v>2.95</v>
      </c>
      <c r="D50" t="n">
        <v>3</v>
      </c>
      <c r="E50" t="n">
        <v>0.2</v>
      </c>
      <c r="F50">
        <f>(C50/D50-1)*100</f>
        <v/>
      </c>
      <c r="G50">
        <f>IF(ABS(F50)&lt;=E50*100,"PASS","FAIL")</f>
        <v/>
      </c>
      <c r="H50" t="inlineStr">
        <is>
          <t>첫 DANGER</t>
        </is>
      </c>
      <c r="I50" t="inlineStr">
        <is>
          <t>thresholds.yaml persistence_s</t>
        </is>
      </c>
      <c r="J50" t="inlineStr">
        <is>
          <t>rel</t>
        </is>
      </c>
    </row>
    <row r="51">
      <c r="A51" t="inlineStr">
        <is>
          <t>정상 상태 (I₂/I₁ 마지막 5 s 표준편차 &lt; 1 %)</t>
        </is>
      </c>
      <c r="B51" t="inlineStr">
        <is>
          <t>itsc_16turn</t>
        </is>
      </c>
      <c r="C51" t="n">
        <v>0</v>
      </c>
      <c r="D51" t="n">
        <v>1</v>
      </c>
      <c r="G51" t="inlineStr">
        <is>
          <t>PASS</t>
        </is>
      </c>
      <c r="H51" t="inlineStr">
        <is>
          <t>n=87</t>
        </is>
      </c>
      <c r="I51" t="inlineStr">
        <is>
          <t>state.csv</t>
        </is>
      </c>
      <c r="J51" t="inlineStr">
        <is>
          <t>bool</t>
        </is>
      </c>
    </row>
    <row r="52">
      <c r="A52" t="inlineStr">
        <is>
          <t>I₂/I₁ 결함분 (합성 − 고유 비대칭 페이저)</t>
        </is>
      </c>
      <c r="B52" t="inlineStr">
        <is>
          <t>itsc_16turn</t>
        </is>
      </c>
      <c r="C52" t="n">
        <v>0.337853</v>
      </c>
      <c r="D52" t="n">
        <v>0.33774</v>
      </c>
      <c r="E52" t="n">
        <v>0.01</v>
      </c>
      <c r="F52">
        <f>(C52/D52-1)*100</f>
        <v/>
      </c>
      <c r="G52">
        <f>IF(ABS(F52)&lt;=E52*100,"PASS","FAIL")</f>
        <v/>
      </c>
      <c r="H52" t="inlineStr">
        <is>
          <t>합성 0.36253 ∠23.1°, 고유 0.027 ∠0°</t>
        </is>
      </c>
      <c r="I52" t="inlineStr">
        <is>
          <t>LUT v2 격자 (mccm_results)</t>
        </is>
      </c>
      <c r="J52" t="inlineStr">
        <is>
          <t>rel</t>
        </is>
      </c>
    </row>
    <row r="53">
      <c r="A53" t="inlineStr">
        <is>
          <t>I₂/I₁ 합성값 (범위 |r−h| ~ r+h)</t>
        </is>
      </c>
      <c r="B53" t="inlineStr">
        <is>
          <t>itsc_16turn</t>
        </is>
      </c>
      <c r="C53" t="n">
        <v>0.36253</v>
      </c>
      <c r="D53" t="inlineStr">
        <is>
          <t>0.31074~0.36474</t>
        </is>
      </c>
      <c r="G53">
        <f>IF(AND(C53&gt;=0.31074,C53&lt;=0.36474),"PASS","FAIL")</f>
        <v/>
      </c>
      <c r="H53" t="inlineStr">
        <is>
          <t>기대(각도 0°) 0.362417</t>
        </is>
      </c>
      <c r="I53" t="inlineStr">
        <is>
          <t>LUT + inherent</t>
        </is>
      </c>
      <c r="J53" t="inlineStr">
        <is>
          <t>range</t>
        </is>
      </c>
    </row>
    <row r="54">
      <c r="A54" t="inlineStr">
        <is>
          <t>I₂/I₁ 합성값 vs 기대(각도 0°)</t>
        </is>
      </c>
      <c r="B54" t="inlineStr">
        <is>
          <t>itsc_16turn</t>
        </is>
      </c>
      <c r="C54" t="n">
        <v>0.36253</v>
      </c>
      <c r="D54" t="n">
        <v>0.362417</v>
      </c>
      <c r="E54" t="n">
        <v>0.01</v>
      </c>
      <c r="F54">
        <f>(C54/D54-1)*100</f>
        <v/>
      </c>
      <c r="G54">
        <f>IF(ABS(F54)&lt;=E54*100,"PASS","FAIL")</f>
        <v/>
      </c>
      <c r="H54" t="inlineStr"/>
      <c r="I54" t="inlineStr">
        <is>
          <t>LUT + inherent</t>
        </is>
      </c>
      <c r="J54" t="inlineStr">
        <is>
          <t>rel</t>
        </is>
      </c>
    </row>
    <row r="55">
      <c r="A55" t="inlineStr">
        <is>
          <t>I₂/I_n 결함분 (I₂_fault/I_n, 시뮬 I₁ 기준) vs LUT I₂/I_n</t>
        </is>
      </c>
      <c r="B55" t="inlineStr">
        <is>
          <t>itsc_16turn</t>
        </is>
      </c>
      <c r="C55" t="n">
        <v>0.473772</v>
      </c>
      <c r="D55" t="n">
        <v>0.473518</v>
      </c>
      <c r="E55" t="n">
        <v>0.01</v>
      </c>
      <c r="F55">
        <f>(C55/D55-1)*100</f>
        <v/>
      </c>
      <c r="G55">
        <f>IF(ABS(F55)&lt;=E55*100,"PASS","FAIL")</f>
        <v/>
      </c>
      <c r="H55" t="inlineStr">
        <is>
          <t>시뮬 I₁ 6.6329 A (LUT 정상분 RMS, D3), LUT I₁ 6.63155 A</t>
        </is>
      </c>
      <c r="I55" t="inlineStr">
        <is>
          <t>LUT v2</t>
        </is>
      </c>
      <c r="J55" t="inlineStr">
        <is>
          <t>rel</t>
        </is>
      </c>
    </row>
    <row r="56">
      <c r="A56" t="inlineStr">
        <is>
          <t>I₁ 정상분 [A] vs LUT I₁</t>
        </is>
      </c>
      <c r="B56" t="inlineStr">
        <is>
          <t>itsc_16turn</t>
        </is>
      </c>
      <c r="C56" t="n">
        <v>6.63288</v>
      </c>
      <c r="D56" t="n">
        <v>6.63155</v>
      </c>
      <c r="E56" t="n">
        <v>0.01</v>
      </c>
      <c r="F56">
        <f>(C56/D56-1)*100</f>
        <v/>
      </c>
      <c r="G56">
        <f>IF(ABS(F56)&lt;=E56*100,"PASS","FAIL")</f>
        <v/>
      </c>
      <c r="H56" t="inlineStr">
        <is>
          <t>D3: 결함 시 상승(격자 보간)</t>
        </is>
      </c>
      <c r="I56" t="inlineStr">
        <is>
          <t>LUT v2</t>
        </is>
      </c>
      <c r="J56" t="inlineStr">
        <is>
          <t>rel</t>
        </is>
      </c>
    </row>
    <row r="57">
      <c r="A57" t="inlineStr">
        <is>
          <t>I₂/I_n 표시값 vs 시뮬 기대(합성×부하)</t>
        </is>
      </c>
      <c r="B57" t="inlineStr">
        <is>
          <t>itsc_16turn</t>
        </is>
      </c>
      <c r="C57" t="n">
        <v>0.5083800000000001</v>
      </c>
      <c r="D57" t="n">
        <v>0.508115</v>
      </c>
      <c r="E57" t="n">
        <v>0.01</v>
      </c>
      <c r="F57">
        <f>(C57/D57-1)*100</f>
        <v/>
      </c>
      <c r="G57">
        <f>IF(ABS(F57)&lt;=E57*100,"PASS","FAIL")</f>
        <v/>
      </c>
      <c r="H57" t="inlineStr">
        <is>
          <t>표시값 자체의 일관성</t>
        </is>
      </c>
      <c r="I57" t="inlineStr">
        <is>
          <t>LUT + inherent</t>
        </is>
      </c>
      <c r="J57" t="inlineStr">
        <is>
          <t>rel</t>
        </is>
      </c>
    </row>
    <row r="58">
      <c r="A58" t="inlineStr">
        <is>
          <t>상 불평형 max dev [%] vs LUT 합성 기대</t>
        </is>
      </c>
      <c r="B58" t="inlineStr">
        <is>
          <t>itsc_16turn</t>
        </is>
      </c>
      <c r="C58" t="n">
        <v>29.5465</v>
      </c>
      <c r="D58" t="n">
        <v>29.5387</v>
      </c>
      <c r="E58" t="n">
        <v>0.02</v>
      </c>
      <c r="F58">
        <f>(C58/D58-1)*100</f>
        <v/>
      </c>
      <c r="G58">
        <f>IF(ABS(F58)&lt;=E58*100,"PASS","FAIL")</f>
        <v/>
      </c>
      <c r="H58" t="inlineStr">
        <is>
          <t>LUT 자체 27.5857 % (LUT I₁ 기준)</t>
        </is>
      </c>
      <c r="I58" t="inlineStr">
        <is>
          <t>LUT + inherent</t>
        </is>
      </c>
      <c r="J58" t="inlineStr">
        <is>
          <t>rel</t>
        </is>
      </c>
    </row>
    <row r="59">
      <c r="A59" t="inlineStr">
        <is>
          <t>단락 루프 전류 I_f [A] vs MCCM</t>
        </is>
      </c>
      <c r="B59" t="inlineStr">
        <is>
          <t>itsc_16turn</t>
        </is>
      </c>
      <c r="C59" t="n">
        <v>80.64319999999999</v>
      </c>
      <c r="D59" t="n">
        <v>80.6306</v>
      </c>
      <c r="E59" t="n">
        <v>0.01</v>
      </c>
      <c r="F59">
        <f>(C59/D59-1)*100</f>
        <v/>
      </c>
      <c r="G59">
        <f>IF(ABS(F59)&lt;=E59*100,"PASS","FAIL")</f>
        <v/>
      </c>
      <c r="H59" t="inlineStr"/>
      <c r="I59" t="inlineStr">
        <is>
          <t>mccm_results.json</t>
        </is>
      </c>
      <c r="J59" t="inlineStr">
        <is>
          <t>rel</t>
        </is>
      </c>
    </row>
    <row r="60">
      <c r="A60" t="inlineStr">
        <is>
          <t>단락 루프 총손실 [W] vs I_f²(R_f+μR1_hot)+단락턴 동손 (MCCM)</t>
        </is>
      </c>
      <c r="B60" t="inlineStr">
        <is>
          <t>itsc_16turn</t>
        </is>
      </c>
      <c r="C60" t="n">
        <v>1523.26</v>
      </c>
      <c r="D60" t="n">
        <v>1522.24</v>
      </c>
      <c r="E60" t="n">
        <v>0.02</v>
      </c>
      <c r="F60">
        <f>(C60/D60-1)*100</f>
        <v/>
      </c>
      <c r="G60">
        <f>IF(ABS(F60)&lt;=E60*100,"PASS","FAIL")</f>
        <v/>
      </c>
      <c r="H60" t="inlineStr">
        <is>
          <t>공식(루프 저항항만) 1522.2 W</t>
        </is>
      </c>
      <c r="I60" t="inlineStr">
        <is>
          <t>mccm_results.json</t>
        </is>
      </c>
      <c r="J60" t="inlineStr">
        <is>
          <t>rel</t>
        </is>
      </c>
    </row>
    <row r="61">
      <c r="A61" t="inlineStr">
        <is>
          <t>판정 (장면 끝 종합 상태) vs 예상</t>
        </is>
      </c>
      <c r="B61" t="inlineStr">
        <is>
          <t>itsc_16turn</t>
        </is>
      </c>
      <c r="C61" t="inlineStr">
        <is>
          <t>DANGER</t>
        </is>
      </c>
      <c r="D61" t="inlineStr">
        <is>
          <t>DANGER</t>
        </is>
      </c>
      <c r="G61">
        <f>IF(C61=D61,"PASS","FAIL")</f>
        <v/>
      </c>
      <c r="H61" t="inlineStr">
        <is>
          <t>원인 i2i1 0.3625 · i2i1 예상 DANGER</t>
        </is>
      </c>
      <c r="I61" t="inlineStr">
        <is>
          <t>thresholds.yaml</t>
        </is>
      </c>
      <c r="J61" t="inlineStr">
        <is>
          <t>match</t>
        </is>
      </c>
    </row>
    <row r="62">
      <c r="A62" t="inlineStr">
        <is>
          <t>정상 상태 (I₂/I₁ 마지막 5 s 표준편차 &lt; 1 %)</t>
        </is>
      </c>
      <c r="B62" t="inlineStr">
        <is>
          <t>itsc_4turn_resistive</t>
        </is>
      </c>
      <c r="C62" t="n">
        <v>0</v>
      </c>
      <c r="D62" t="n">
        <v>1</v>
      </c>
      <c r="G62" t="inlineStr">
        <is>
          <t>PASS</t>
        </is>
      </c>
      <c r="H62" t="inlineStr">
        <is>
          <t>n=86</t>
        </is>
      </c>
      <c r="I62" t="inlineStr">
        <is>
          <t>state.csv</t>
        </is>
      </c>
      <c r="J62" t="inlineStr">
        <is>
          <t>bool</t>
        </is>
      </c>
    </row>
    <row r="63">
      <c r="A63" t="inlineStr">
        <is>
          <t>I₂/I₁ 결함분 (합성 − 고유 비대칭 페이저)</t>
        </is>
      </c>
      <c r="B63" t="inlineStr">
        <is>
          <t>itsc_4turn_resistive</t>
        </is>
      </c>
      <c r="C63" t="n">
        <v>0.006542</v>
      </c>
      <c r="D63" t="n">
        <v>0.006511</v>
      </c>
      <c r="E63" t="n">
        <v>0.01</v>
      </c>
      <c r="F63">
        <f>(C63/D63-1)*100</f>
        <v/>
      </c>
      <c r="G63">
        <f>IF(ABS(F63)&lt;=E63*100,"PASS","FAIL")</f>
        <v/>
      </c>
      <c r="H63" t="inlineStr">
        <is>
          <t>합성 0.03244 ∠7.0°, 고유 0.027 ∠0°</t>
        </is>
      </c>
      <c r="I63" t="inlineStr">
        <is>
          <t>LUT v2 격자 (mccm_results)</t>
        </is>
      </c>
      <c r="J63" t="inlineStr">
        <is>
          <t>rel</t>
        </is>
      </c>
    </row>
    <row r="64">
      <c r="A64" t="inlineStr">
        <is>
          <t>I₂/I₁ 합성값 (범위 |r−h| ~ r+h)</t>
        </is>
      </c>
      <c r="B64" t="inlineStr">
        <is>
          <t>itsc_4turn_resistive</t>
        </is>
      </c>
      <c r="C64" t="n">
        <v>0.03244</v>
      </c>
      <c r="D64" t="inlineStr">
        <is>
          <t>0.020489~0.033511</t>
        </is>
      </c>
      <c r="G64">
        <f>IF(AND(C64&gt;=0.020489,C64&lt;=0.033511),"PASS","FAIL")</f>
        <v/>
      </c>
      <c r="H64" t="inlineStr">
        <is>
          <t>기대(각도 0°) 0.032413</t>
        </is>
      </c>
      <c r="I64" t="inlineStr">
        <is>
          <t>LUT + inherent</t>
        </is>
      </c>
      <c r="J64" t="inlineStr">
        <is>
          <t>range</t>
        </is>
      </c>
    </row>
    <row r="65">
      <c r="A65" t="inlineStr">
        <is>
          <t>I₂/I₁ 합성값 vs 기대(각도 0°)</t>
        </is>
      </c>
      <c r="B65" t="inlineStr">
        <is>
          <t>itsc_4turn_resistive</t>
        </is>
      </c>
      <c r="C65" t="n">
        <v>0.03244</v>
      </c>
      <c r="D65" t="n">
        <v>0.032413</v>
      </c>
      <c r="E65" t="n">
        <v>0.01</v>
      </c>
      <c r="F65">
        <f>(C65/D65-1)*100</f>
        <v/>
      </c>
      <c r="G65">
        <f>IF(ABS(F65)&lt;=E65*100,"PASS","FAIL")</f>
        <v/>
      </c>
      <c r="H65" t="inlineStr"/>
      <c r="I65" t="inlineStr">
        <is>
          <t>LUT + inherent</t>
        </is>
      </c>
      <c r="J65" t="inlineStr">
        <is>
          <t>rel</t>
        </is>
      </c>
    </row>
    <row r="66">
      <c r="A66" t="inlineStr">
        <is>
          <t>I₂/I_n 결함분 (I₂_fault/I_n, 시뮬 I₁ 기준) vs LUT I₂/I_n</t>
        </is>
      </c>
      <c r="B66" t="inlineStr">
        <is>
          <t>itsc_4turn_resistive</t>
        </is>
      </c>
      <c r="C66" t="n">
        <v>0.006527</v>
      </c>
      <c r="D66" t="n">
        <v>0.006496</v>
      </c>
      <c r="E66" t="n">
        <v>0.01</v>
      </c>
      <c r="F66">
        <f>(C66/D66-1)*100</f>
        <v/>
      </c>
      <c r="G66">
        <f>IF(ABS(F66)&lt;=E66*100,"PASS","FAIL")</f>
        <v/>
      </c>
      <c r="H66" t="inlineStr">
        <is>
          <t>시뮬 I₁ 4.7191 A (LUT 정상분 RMS, D3), LUT I₁ 4.719 A</t>
        </is>
      </c>
      <c r="I66" t="inlineStr">
        <is>
          <t>LUT v2</t>
        </is>
      </c>
      <c r="J66" t="inlineStr">
        <is>
          <t>rel</t>
        </is>
      </c>
    </row>
    <row r="67">
      <c r="A67" t="inlineStr">
        <is>
          <t>I₁ 정상분 [A] vs LUT I₁</t>
        </is>
      </c>
      <c r="B67" t="inlineStr">
        <is>
          <t>itsc_4turn_resistive</t>
        </is>
      </c>
      <c r="C67" t="n">
        <v>4.71911</v>
      </c>
      <c r="D67" t="n">
        <v>4.719</v>
      </c>
      <c r="E67" t="n">
        <v>0.01</v>
      </c>
      <c r="F67">
        <f>(C67/D67-1)*100</f>
        <v/>
      </c>
      <c r="G67">
        <f>IF(ABS(F67)&lt;=E67*100,"PASS","FAIL")</f>
        <v/>
      </c>
      <c r="H67" t="inlineStr">
        <is>
          <t>D3: 결함 시 상승(격자 보간)</t>
        </is>
      </c>
      <c r="I67" t="inlineStr">
        <is>
          <t>LUT v2</t>
        </is>
      </c>
      <c r="J67" t="inlineStr">
        <is>
          <t>rel</t>
        </is>
      </c>
    </row>
    <row r="68">
      <c r="A68" t="inlineStr">
        <is>
          <t>I₂/I_n 표시값 vs 시뮬 기대(합성×부하)</t>
        </is>
      </c>
      <c r="B68" t="inlineStr">
        <is>
          <t>itsc_4turn_resistive</t>
        </is>
      </c>
      <c r="C68" t="n">
        <v>0.03236</v>
      </c>
      <c r="D68" t="n">
        <v>0.032338</v>
      </c>
      <c r="E68" t="n">
        <v>0.01</v>
      </c>
      <c r="F68">
        <f>(C68/D68-1)*100</f>
        <v/>
      </c>
      <c r="G68">
        <f>IF(ABS(F68)&lt;=E68*100,"PASS","FAIL")</f>
        <v/>
      </c>
      <c r="H68" t="inlineStr">
        <is>
          <t>표시값 자체의 일관성</t>
        </is>
      </c>
      <c r="I68" t="inlineStr">
        <is>
          <t>LUT + inherent</t>
        </is>
      </c>
      <c r="J68" t="inlineStr">
        <is>
          <t>rel</t>
        </is>
      </c>
    </row>
    <row r="69">
      <c r="A69" t="inlineStr">
        <is>
          <t>상 불평형 max dev [%] vs LUT 합성 기대</t>
        </is>
      </c>
      <c r="B69" t="inlineStr">
        <is>
          <t>itsc_4turn_resistive</t>
        </is>
      </c>
      <c r="C69" t="n">
        <v>3.1933</v>
      </c>
      <c r="D69" t="n">
        <v>3.1903</v>
      </c>
      <c r="E69" t="n">
        <v>0.02</v>
      </c>
      <c r="F69">
        <f>(C69/D69-1)*100</f>
        <v/>
      </c>
      <c r="G69">
        <f>IF(ABS(F69)&lt;=E69*100,"PASS","FAIL")</f>
        <v/>
      </c>
      <c r="H69" t="inlineStr">
        <is>
          <t>LUT 자체 0.6019 % (LUT I₁ 기준)</t>
        </is>
      </c>
      <c r="I69" t="inlineStr">
        <is>
          <t>LUT + inherent</t>
        </is>
      </c>
      <c r="J69" t="inlineStr">
        <is>
          <t>rel</t>
        </is>
      </c>
    </row>
    <row r="70">
      <c r="A70" t="inlineStr">
        <is>
          <t>단락 루프 전류 I_f [A] vs MCCM</t>
        </is>
      </c>
      <c r="B70" t="inlineStr">
        <is>
          <t>itsc_4turn_resistive</t>
        </is>
      </c>
      <c r="C70" t="n">
        <v>4.431</v>
      </c>
      <c r="D70" t="n">
        <v>4.4244</v>
      </c>
      <c r="E70" t="n">
        <v>0.01</v>
      </c>
      <c r="F70">
        <f>(C70/D70-1)*100</f>
        <v/>
      </c>
      <c r="G70">
        <f>IF(ABS(F70)&lt;=E70*100,"PASS","FAIL")</f>
        <v/>
      </c>
      <c r="H70" t="inlineStr">
        <is>
          <t>FEM(F1 보정) 4.56 A 참고</t>
        </is>
      </c>
      <c r="I70" t="inlineStr">
        <is>
          <t>mccm_results.json</t>
        </is>
      </c>
      <c r="J70" t="inlineStr">
        <is>
          <t>rel</t>
        </is>
      </c>
    </row>
    <row r="71">
      <c r="A71" t="inlineStr">
        <is>
          <t>I_f [A] vs 2D FEM(F1 보정) — 참고 열</t>
        </is>
      </c>
      <c r="B71" t="inlineStr">
        <is>
          <t>itsc_4turn_resistive</t>
        </is>
      </c>
      <c r="C71" t="n">
        <v>4.431</v>
      </c>
      <c r="D71" t="n">
        <v>4.5647420896258</v>
      </c>
      <c r="E71" t="n">
        <v>0.05</v>
      </c>
      <c r="F71">
        <f>(C71/D71-1)*100</f>
        <v/>
      </c>
      <c r="G71">
        <f>IF(ABS(F71)&lt;=E71*100,"PASS","FAIL")</f>
        <v/>
      </c>
      <c r="H71" t="inlineStr">
        <is>
          <t>참고(±5 % MCCM↔FEM 정합 범위)</t>
        </is>
      </c>
      <c r="I71" t="inlineStr">
        <is>
          <t>f2_corrections.json F1</t>
        </is>
      </c>
      <c r="J71" t="inlineStr">
        <is>
          <t>rel</t>
        </is>
      </c>
    </row>
    <row r="72">
      <c r="A72" t="inlineStr">
        <is>
          <t>단락 루프 총손실 [W] vs I_f²(R_f+μR1_hot)+단락턴 동손 (MCCM)</t>
        </is>
      </c>
      <c r="B72" t="inlineStr">
        <is>
          <t>itsc_4turn_resistive</t>
        </is>
      </c>
      <c r="C72" t="n">
        <v>20.32</v>
      </c>
      <c r="D72" t="n">
        <v>20.232</v>
      </c>
      <c r="E72" t="n">
        <v>0.02</v>
      </c>
      <c r="F72">
        <f>(C72/D72-1)*100</f>
        <v/>
      </c>
      <c r="G72">
        <f>IF(ABS(F72)&lt;=E72*100,"PASS","FAIL")</f>
        <v/>
      </c>
      <c r="H72" t="inlineStr">
        <is>
          <t>공식(루프 저항항만) 20.2 W</t>
        </is>
      </c>
      <c r="I72" t="inlineStr">
        <is>
          <t>mccm_results.json</t>
        </is>
      </c>
      <c r="J72" t="inlineStr">
        <is>
          <t>rel</t>
        </is>
      </c>
    </row>
    <row r="73">
      <c r="A73" t="inlineStr">
        <is>
          <t>판정 (장면 끝 종합 상태) vs 예상</t>
        </is>
      </c>
      <c r="B73" t="inlineStr">
        <is>
          <t>itsc_4turn_resistive</t>
        </is>
      </c>
      <c r="C73" t="inlineStr">
        <is>
          <t>SAFE</t>
        </is>
      </c>
      <c r="D73" t="inlineStr">
        <is>
          <t>SAFE</t>
        </is>
      </c>
      <c r="G73">
        <f>IF(C73=D73,"PASS","FAIL")</f>
        <v/>
      </c>
      <c r="H73" t="inlineStr">
        <is>
          <t>원인 - 0.0 · i2i1 예상 SAFE</t>
        </is>
      </c>
      <c r="I73" t="inlineStr">
        <is>
          <t>thresholds.yaml</t>
        </is>
      </c>
      <c r="J73" t="inlineStr">
        <is>
          <t>match</t>
        </is>
      </c>
    </row>
    <row r="74">
      <c r="A74" t="inlineStr">
        <is>
          <t>정상 상태 (I₂/I₁ 마지막 5 s 표준편차 &lt; 1 %)</t>
        </is>
      </c>
      <c r="B74" t="inlineStr">
        <is>
          <t>itsc_4turn_halfload</t>
        </is>
      </c>
      <c r="C74" t="n">
        <v>0</v>
      </c>
      <c r="D74" t="n">
        <v>1</v>
      </c>
      <c r="G74" t="inlineStr">
        <is>
          <t>PASS</t>
        </is>
      </c>
      <c r="H74" t="inlineStr">
        <is>
          <t>n=87</t>
        </is>
      </c>
      <c r="I74" t="inlineStr">
        <is>
          <t>state.csv</t>
        </is>
      </c>
      <c r="J74" t="inlineStr">
        <is>
          <t>bool</t>
        </is>
      </c>
    </row>
    <row r="75">
      <c r="A75" t="inlineStr">
        <is>
          <t>I₂/I₁ 결함분 (합성 − 고유 비대칭 페이저)</t>
        </is>
      </c>
      <c r="B75" t="inlineStr">
        <is>
          <t>itsc_4turn_halfload</t>
        </is>
      </c>
      <c r="C75" t="n">
        <v>0.074726</v>
      </c>
      <c r="D75" t="n">
        <v>0.074507</v>
      </c>
      <c r="E75" t="n">
        <v>0.01</v>
      </c>
      <c r="F75">
        <f>(C75/D75-1)*100</f>
        <v/>
      </c>
      <c r="G75">
        <f>IF(ABS(F75)&lt;=E75*100,"PASS","FAIL")</f>
        <v/>
      </c>
      <c r="H75" t="inlineStr">
        <is>
          <t>합성 0.09529 ∠34.8°, 고유 0.027 ∠0°</t>
        </is>
      </c>
      <c r="I75" t="inlineStr">
        <is>
          <t>LUT v2 격자 (mccm_results)</t>
        </is>
      </c>
      <c r="J75" t="inlineStr">
        <is>
          <t>rel</t>
        </is>
      </c>
    </row>
    <row r="76">
      <c r="A76" t="inlineStr">
        <is>
          <t>I₂/I₁ 합성값 (범위 |r−h| ~ r+h)</t>
        </is>
      </c>
      <c r="B76" t="inlineStr">
        <is>
          <t>itsc_4turn_halfload</t>
        </is>
      </c>
      <c r="C76" t="n">
        <v>0.09529</v>
      </c>
      <c r="D76" t="inlineStr">
        <is>
          <t>0.047507~0.101507</t>
        </is>
      </c>
      <c r="G76">
        <f>IF(AND(C76&gt;=0.047507,C76&lt;=0.101507),"PASS","FAIL")</f>
        <v/>
      </c>
      <c r="H76" t="inlineStr">
        <is>
          <t>기대(각도 0°) 0.095076</t>
        </is>
      </c>
      <c r="I76" t="inlineStr">
        <is>
          <t>LUT + inherent</t>
        </is>
      </c>
      <c r="J76" t="inlineStr">
        <is>
          <t>range</t>
        </is>
      </c>
    </row>
    <row r="77">
      <c r="A77" t="inlineStr">
        <is>
          <t>I₂/I₁ 합성값 vs 기대(각도 0°)</t>
        </is>
      </c>
      <c r="B77" t="inlineStr">
        <is>
          <t>itsc_4turn_halfload</t>
        </is>
      </c>
      <c r="C77" t="n">
        <v>0.09529</v>
      </c>
      <c r="D77" t="n">
        <v>0.09507599999999999</v>
      </c>
      <c r="E77" t="n">
        <v>0.01</v>
      </c>
      <c r="F77">
        <f>(C77/D77-1)*100</f>
        <v/>
      </c>
      <c r="G77">
        <f>IF(ABS(F77)&lt;=E77*100,"PASS","FAIL")</f>
        <v/>
      </c>
      <c r="H77" t="inlineStr"/>
      <c r="I77" t="inlineStr">
        <is>
          <t>LUT + inherent</t>
        </is>
      </c>
      <c r="J77" t="inlineStr">
        <is>
          <t>rel</t>
        </is>
      </c>
    </row>
    <row r="78">
      <c r="A78" t="inlineStr">
        <is>
          <t>I₂/I_n 결함분 (I₂_fault/I_n, 시뮬 I₁ 기준) vs LUT I₂/I_n</t>
        </is>
      </c>
      <c r="B78" t="inlineStr">
        <is>
          <t>itsc_4turn_halfload</t>
        </is>
      </c>
      <c r="C78" t="n">
        <v>0.050586</v>
      </c>
      <c r="D78" t="n">
        <v>0.050428</v>
      </c>
      <c r="E78" t="n">
        <v>0.01</v>
      </c>
      <c r="F78">
        <f>(C78/D78-1)*100</f>
        <v/>
      </c>
      <c r="G78">
        <f>IF(ABS(F78)&lt;=E78*100,"PASS","FAIL")</f>
        <v/>
      </c>
      <c r="H78" t="inlineStr">
        <is>
          <t>시뮬 I₁ 3.2020 A (LUT 정상분 RMS, D3), LUT I₁ 3.20136 A</t>
        </is>
      </c>
      <c r="I78" t="inlineStr">
        <is>
          <t>LUT v2</t>
        </is>
      </c>
      <c r="J78" t="inlineStr">
        <is>
          <t>rel</t>
        </is>
      </c>
    </row>
    <row r="79">
      <c r="A79" t="inlineStr">
        <is>
          <t>I₁ 정상분 [A] vs LUT I₁</t>
        </is>
      </c>
      <c r="B79" t="inlineStr">
        <is>
          <t>itsc_4turn_halfload</t>
        </is>
      </c>
      <c r="C79" t="n">
        <v>3.20198</v>
      </c>
      <c r="D79" t="n">
        <v>3.20136</v>
      </c>
      <c r="E79" t="n">
        <v>0.01</v>
      </c>
      <c r="F79">
        <f>(C79/D79-1)*100</f>
        <v/>
      </c>
      <c r="G79">
        <f>IF(ABS(F79)&lt;=E79*100,"PASS","FAIL")</f>
        <v/>
      </c>
      <c r="H79" t="inlineStr">
        <is>
          <t>D3: 결함 시 상승(격자 보간)</t>
        </is>
      </c>
      <c r="I79" t="inlineStr">
        <is>
          <t>LUT v2</t>
        </is>
      </c>
      <c r="J79" t="inlineStr">
        <is>
          <t>rel</t>
        </is>
      </c>
    </row>
    <row r="80">
      <c r="A80" t="inlineStr">
        <is>
          <t>I₂/I_n 표시값 vs 시뮬 기대(합성×부하)</t>
        </is>
      </c>
      <c r="B80" t="inlineStr">
        <is>
          <t>itsc_4turn_halfload</t>
        </is>
      </c>
      <c r="C80" t="n">
        <v>0.06451</v>
      </c>
      <c r="D80" t="n">
        <v>0.064349</v>
      </c>
      <c r="E80" t="n">
        <v>0.01</v>
      </c>
      <c r="F80">
        <f>(C80/D80-1)*100</f>
        <v/>
      </c>
      <c r="G80">
        <f>IF(ABS(F80)&lt;=E80*100,"PASS","FAIL")</f>
        <v/>
      </c>
      <c r="H80" t="inlineStr">
        <is>
          <t>표시값 자체의 일관성</t>
        </is>
      </c>
      <c r="I80" t="inlineStr">
        <is>
          <t>LUT + inherent</t>
        </is>
      </c>
      <c r="J80" t="inlineStr">
        <is>
          <t>rel</t>
        </is>
      </c>
    </row>
    <row r="81">
      <c r="A81" t="inlineStr">
        <is>
          <t>상 불평형 max dev [%] vs LUT 합성 기대</t>
        </is>
      </c>
      <c r="B81" t="inlineStr">
        <is>
          <t>itsc_4turn_halfload</t>
        </is>
      </c>
      <c r="C81" t="n">
        <v>8.7364</v>
      </c>
      <c r="D81" t="n">
        <v>8.715199999999999</v>
      </c>
      <c r="E81" t="n">
        <v>0.02</v>
      </c>
      <c r="F81">
        <f>(C81/D81-1)*100</f>
        <v/>
      </c>
      <c r="G81">
        <f>IF(ABS(F81)&lt;=E81*100,"PASS","FAIL")</f>
        <v/>
      </c>
      <c r="H81" t="inlineStr">
        <is>
          <t>LUT 자체 7.3601 % (LUT I₁ 기준)</t>
        </is>
      </c>
      <c r="I81" t="inlineStr">
        <is>
          <t>LUT + inherent</t>
        </is>
      </c>
      <c r="J81" t="inlineStr">
        <is>
          <t>rel</t>
        </is>
      </c>
    </row>
    <row r="82">
      <c r="A82" t="inlineStr">
        <is>
          <t>단락 루프 전류 I_f [A] vs MCCM</t>
        </is>
      </c>
      <c r="B82" t="inlineStr">
        <is>
          <t>itsc_4turn_halfload</t>
        </is>
      </c>
      <c r="C82" t="n">
        <v>34.381</v>
      </c>
      <c r="D82" t="n">
        <v>34.3475</v>
      </c>
      <c r="E82" t="n">
        <v>0.01</v>
      </c>
      <c r="F82">
        <f>(C82/D82-1)*100</f>
        <v/>
      </c>
      <c r="G82">
        <f>IF(ABS(F82)&lt;=E82*100,"PASS","FAIL")</f>
        <v/>
      </c>
      <c r="H82" t="inlineStr"/>
      <c r="I82" t="inlineStr">
        <is>
          <t>mccm_results.json</t>
        </is>
      </c>
      <c r="J82" t="inlineStr">
        <is>
          <t>rel</t>
        </is>
      </c>
    </row>
    <row r="83">
      <c r="A83" t="inlineStr">
        <is>
          <t>단락 루프 총손실 [W] vs I_f²(R_f+μR1_hot)+단락턴 동손 (MCCM)</t>
        </is>
      </c>
      <c r="B83" t="inlineStr">
        <is>
          <t>itsc_4turn_halfload</t>
        </is>
      </c>
      <c r="C83" t="n">
        <v>158.1</v>
      </c>
      <c r="D83" t="n">
        <v>157.539</v>
      </c>
      <c r="E83" t="n">
        <v>0.02</v>
      </c>
      <c r="F83">
        <f>(C83/D83-1)*100</f>
        <v/>
      </c>
      <c r="G83">
        <f>IF(ABS(F83)&lt;=E83*100,"PASS","FAIL")</f>
        <v/>
      </c>
      <c r="H83" t="inlineStr">
        <is>
          <t>공식(루프 저항항만) 157.5 W</t>
        </is>
      </c>
      <c r="I83" t="inlineStr">
        <is>
          <t>mccm_results.json</t>
        </is>
      </c>
      <c r="J83" t="inlineStr">
        <is>
          <t>rel</t>
        </is>
      </c>
    </row>
    <row r="84">
      <c r="A84" t="inlineStr">
        <is>
          <t>판정 (장면 끝 종합 상태) vs 예상</t>
        </is>
      </c>
      <c r="B84" t="inlineStr">
        <is>
          <t>itsc_4turn_halfload</t>
        </is>
      </c>
      <c r="C84" t="inlineStr">
        <is>
          <t>WARN</t>
        </is>
      </c>
      <c r="D84" t="inlineStr">
        <is>
          <t>WARN</t>
        </is>
      </c>
      <c r="G84">
        <f>IF(C84=D84,"PASS","FAIL")</f>
        <v/>
      </c>
      <c r="H84" t="inlineStr">
        <is>
          <t>원인 i2i1 0.0953 · i2i1 예상 WARN</t>
        </is>
      </c>
      <c r="I84" t="inlineStr">
        <is>
          <t>thresholds.yaml</t>
        </is>
      </c>
      <c r="J84" t="inlineStr">
        <is>
          <t>match</t>
        </is>
      </c>
    </row>
    <row r="85">
      <c r="A85" t="inlineStr">
        <is>
          <t>탐지 지연 [s] (주입 → 첫 상향, 지속 3 s 규칙)</t>
        </is>
      </c>
      <c r="B85" t="inlineStr">
        <is>
          <t>itsc_4turn_halfload</t>
        </is>
      </c>
      <c r="C85" t="n">
        <v>3.02</v>
      </c>
      <c r="D85" t="n">
        <v>3</v>
      </c>
      <c r="E85" t="n">
        <v>0.2</v>
      </c>
      <c r="F85">
        <f>(C85/D85-1)*100</f>
        <v/>
      </c>
      <c r="G85">
        <f>IF(ABS(F85)&lt;=E85*100,"PASS","FAIL")</f>
        <v/>
      </c>
      <c r="H85" t="inlineStr">
        <is>
          <t>첫 WARN</t>
        </is>
      </c>
      <c r="I85" t="inlineStr">
        <is>
          <t>thresholds.yaml persistence_s</t>
        </is>
      </c>
      <c r="J85" t="inlineStr">
        <is>
          <t>rel</t>
        </is>
      </c>
    </row>
    <row r="86">
      <c r="A86" t="inlineStr">
        <is>
          <t>정상 시나리오 오경보 건수 (SAFE 유지)</t>
        </is>
      </c>
      <c r="B86" t="inlineStr">
        <is>
          <t>healthy</t>
        </is>
      </c>
      <c r="C86" t="n">
        <v>0</v>
      </c>
      <c r="D86" t="n">
        <v>0</v>
      </c>
      <c r="G86">
        <f>IF(C86=D86,"PASS","FAIL")</f>
        <v/>
      </c>
      <c r="H86" t="inlineStr">
        <is>
          <t>353 행</t>
        </is>
      </c>
      <c r="I86" t="inlineStr">
        <is>
          <t>state.csv</t>
        </is>
      </c>
      <c r="J86" t="inlineStr">
        <is>
          <t>match</t>
        </is>
      </c>
    </row>
    <row r="87">
      <c r="A87" t="inlineStr">
        <is>
          <t>합성 파형 독립 재계산 I₂/I₁ (최대 편차, 전 파형)</t>
        </is>
      </c>
      <c r="B87" t="inlineStr">
        <is>
          <t>all</t>
        </is>
      </c>
      <c r="C87" t="n">
        <v>0.0226</v>
      </c>
      <c r="D87" t="n">
        <v>0</v>
      </c>
      <c r="E87" t="n">
        <v>0.005</v>
      </c>
      <c r="G87" t="inlineStr">
        <is>
          <t>PASS</t>
        </is>
      </c>
      <c r="H87" t="inlineStr">
        <is>
          <t>213 파형, 기본파 외 고조파 0</t>
        </is>
      </c>
      <c r="I87" t="inlineStr">
        <is>
          <t>recompute_i2i1.py</t>
        </is>
      </c>
      <c r="J87" t="inlineStr">
        <is>
          <t>bool</t>
        </is>
      </c>
    </row>
    <row r="88">
      <c r="A88" t="inlineStr">
        <is>
          <t>권선 온도 상승 ΔT [°C] 주입 후 정상 상태 vs 열 모델 에너지 수지 역산</t>
        </is>
      </c>
      <c r="B88" t="inlineStr">
        <is>
          <t>itsc_4turn</t>
        </is>
      </c>
      <c r="C88" t="n">
        <v>45.622</v>
      </c>
      <c r="D88" t="n">
        <v>45.622</v>
      </c>
      <c r="E88" t="n">
        <v>0.05</v>
      </c>
      <c r="F88">
        <f>(C88/D88-1)*100</f>
        <v/>
      </c>
      <c r="G88">
        <f>IF(ABS(F88)&lt;=E88*100,"PASS","FAIL")</f>
        <v/>
      </c>
      <c r="H88" t="inlineStr">
        <is>
          <t>시뮬 시간 300 분 후 (τ 권선 ≈ 36 분), 루프 손실 158.1 W</t>
        </is>
      </c>
      <c r="I88" t="inlineStr">
        <is>
          <t>thermal.yaml + LUT P_loop (모델 자기 일관성)</t>
        </is>
      </c>
      <c r="J88" t="inlineStr">
        <is>
          <t>rel</t>
        </is>
      </c>
    </row>
    <row r="89">
      <c r="A89" t="inlineStr">
        <is>
          <t>권선 온도 상승 ΔT [°C] 주입 후 정상 상태 vs 열 모델 에너지 수지 역산</t>
        </is>
      </c>
      <c r="B89" t="inlineStr">
        <is>
          <t>itsc_12turn</t>
        </is>
      </c>
      <c r="C89" t="n">
        <v>174.364</v>
      </c>
      <c r="D89" t="n">
        <v>174.366</v>
      </c>
      <c r="E89" t="n">
        <v>0.05</v>
      </c>
      <c r="F89">
        <f>(C89/D89-1)*100</f>
        <v/>
      </c>
      <c r="G89">
        <f>IF(ABS(F89)&lt;=E89*100,"PASS","FAIL")</f>
        <v/>
      </c>
      <c r="H89" t="inlineStr">
        <is>
          <t>시뮬 시간 300 분 후 (τ 권선 ≈ 36 분), 루프 손실 977.46 W</t>
        </is>
      </c>
      <c r="I89" t="inlineStr">
        <is>
          <t>thermal.yaml + LUT P_loop (모델 자기 일관성)</t>
        </is>
      </c>
      <c r="J89" t="inlineStr">
        <is>
          <t>rel</t>
        </is>
      </c>
    </row>
    <row r="90">
      <c r="A90" t="inlineStr">
        <is>
          <t>권선 온도 상승 ΔT [°C] 주입 후 정상 상태 vs 열 모델 에너지 수지 역산</t>
        </is>
      </c>
      <c r="B90" t="inlineStr">
        <is>
          <t>itsc_16turn</t>
        </is>
      </c>
      <c r="C90" t="n">
        <v>261.944</v>
      </c>
      <c r="D90" t="n">
        <v>261.947</v>
      </c>
      <c r="E90" t="n">
        <v>0.05</v>
      </c>
      <c r="F90">
        <f>(C90/D90-1)*100</f>
        <v/>
      </c>
      <c r="G90">
        <f>IF(ABS(F90)&lt;=E90*100,"PASS","FAIL")</f>
        <v/>
      </c>
      <c r="H90" t="inlineStr">
        <is>
          <t>시뮬 시간 300 분 후 (τ 권선 ≈ 36 분), 루프 손실 1523.26 W</t>
        </is>
      </c>
      <c r="I90" t="inlineStr">
        <is>
          <t>thermal.yaml + LUT P_loop (모델 자기 일관성)</t>
        </is>
      </c>
      <c r="J90" t="inlineStr">
        <is>
          <t>rel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시나리오</t>
        </is>
      </c>
      <c r="B1" t="inlineStr">
        <is>
          <t>주입 s</t>
        </is>
      </c>
      <c r="C1" t="inlineStr">
        <is>
          <t>첫 WARN s</t>
        </is>
      </c>
      <c r="D1" t="inlineStr">
        <is>
          <t>첫 DANGER s</t>
        </is>
      </c>
      <c r="E1" t="inlineStr">
        <is>
          <t>지연</t>
        </is>
      </c>
      <c r="F1" t="inlineStr">
        <is>
          <t>장면 끝</t>
        </is>
      </c>
      <c r="G1" t="inlineStr">
        <is>
          <t>원인</t>
        </is>
      </c>
      <c r="H1" t="inlineStr">
        <is>
          <t>i2i1 예상</t>
        </is>
      </c>
    </row>
    <row r="2">
      <c r="A2" t="inlineStr">
        <is>
          <t>healthy</t>
        </is>
      </c>
      <c r="B2" t="n">
        <v>0</v>
      </c>
      <c r="E2" t="inlineStr">
        <is>
          <t>{}</t>
        </is>
      </c>
      <c r="F2" t="inlineStr">
        <is>
          <t>SAFE</t>
        </is>
      </c>
      <c r="G2" t="inlineStr">
        <is>
          <t>-</t>
        </is>
      </c>
      <c r="H2" t="inlineStr">
        <is>
          <t>SAFE</t>
        </is>
      </c>
    </row>
    <row r="3">
      <c r="A3" t="inlineStr">
        <is>
          <t>itsc_4turn</t>
        </is>
      </c>
      <c r="B3" t="n">
        <v>20</v>
      </c>
      <c r="C3" t="n">
        <v>22.982</v>
      </c>
      <c r="E3" t="inlineStr">
        <is>
          <t>{"WARN": 2.98}</t>
        </is>
      </c>
      <c r="F3" t="inlineStr">
        <is>
          <t>WARN</t>
        </is>
      </c>
      <c r="G3" t="inlineStr">
        <is>
          <t>i2i1</t>
        </is>
      </c>
      <c r="H3" t="inlineStr">
        <is>
          <t>WARN</t>
        </is>
      </c>
    </row>
    <row r="4">
      <c r="A4" t="inlineStr">
        <is>
          <t>itsc_12turn</t>
        </is>
      </c>
      <c r="B4" t="n">
        <v>45</v>
      </c>
      <c r="D4" t="n">
        <v>48.029</v>
      </c>
      <c r="E4" t="inlineStr">
        <is>
          <t>{"DANGER": 3.03}</t>
        </is>
      </c>
      <c r="F4" t="inlineStr">
        <is>
          <t>DANGER</t>
        </is>
      </c>
      <c r="G4" t="inlineStr">
        <is>
          <t>i2i1</t>
        </is>
      </c>
      <c r="H4" t="inlineStr">
        <is>
          <t>DANGER</t>
        </is>
      </c>
    </row>
    <row r="5">
      <c r="A5" t="inlineStr">
        <is>
          <t>itsc_8turn</t>
        </is>
      </c>
      <c r="B5" t="n">
        <v>165</v>
      </c>
      <c r="D5" t="n">
        <v>167.946</v>
      </c>
      <c r="E5" t="inlineStr">
        <is>
          <t>{"DANGER": 2.95}</t>
        </is>
      </c>
      <c r="F5" t="inlineStr">
        <is>
          <t>DANGER</t>
        </is>
      </c>
      <c r="G5" t="inlineStr">
        <is>
          <t>i2i1</t>
        </is>
      </c>
      <c r="H5" t="inlineStr">
        <is>
          <t>DANGER</t>
        </is>
      </c>
    </row>
    <row r="6">
      <c r="A6" t="inlineStr">
        <is>
          <t>itsc_16turn</t>
        </is>
      </c>
      <c r="B6" t="n">
        <v>185</v>
      </c>
      <c r="E6" t="inlineStr">
        <is>
          <t>{}</t>
        </is>
      </c>
      <c r="F6" t="inlineStr">
        <is>
          <t>DANGER</t>
        </is>
      </c>
      <c r="G6" t="inlineStr">
        <is>
          <t>i2i1</t>
        </is>
      </c>
      <c r="H6" t="inlineStr">
        <is>
          <t>DANGER</t>
        </is>
      </c>
    </row>
    <row r="7">
      <c r="A7" t="inlineStr">
        <is>
          <t>itsc_4turn_resistive</t>
        </is>
      </c>
      <c r="B7" t="n">
        <v>205</v>
      </c>
      <c r="E7" t="inlineStr">
        <is>
          <t>{}</t>
        </is>
      </c>
      <c r="F7" t="inlineStr">
        <is>
          <t>SAFE</t>
        </is>
      </c>
      <c r="G7" t="inlineStr">
        <is>
          <t>-</t>
        </is>
      </c>
      <c r="H7" t="inlineStr">
        <is>
          <t>SAFE</t>
        </is>
      </c>
    </row>
    <row r="8">
      <c r="A8" t="inlineStr">
        <is>
          <t>itsc_4turn_halfload</t>
        </is>
      </c>
      <c r="B8" t="n">
        <v>225</v>
      </c>
      <c r="C8" t="n">
        <v>228.018</v>
      </c>
      <c r="E8" t="inlineStr">
        <is>
          <t>{"WARN": 3.02}</t>
        </is>
      </c>
      <c r="F8" t="inlineStr">
        <is>
          <t>WARN</t>
        </is>
      </c>
      <c r="G8" t="inlineStr">
        <is>
          <t>i2i1</t>
        </is>
      </c>
      <c r="H8" t="inlineStr">
        <is>
          <t>WARN</t>
        </is>
      </c>
    </row>
    <row r="9">
      <c r="A9" t="inlineStr">
        <is>
          <t>itsc_4turn (integrated thermal)</t>
        </is>
      </c>
      <c r="B9" t="n">
        <v>20</v>
      </c>
      <c r="E9" t="inlineStr">
        <is>
          <t>[{"t": 23.036, "to": "WARN", "cause": "i2i1", "value": "0.0726"}]</t>
        </is>
      </c>
      <c r="F9" t="inlineStr">
        <is>
          <t>WARN</t>
        </is>
      </c>
      <c r="G9" t="inlineStr">
        <is>
          <t>i2i1</t>
        </is>
      </c>
    </row>
    <row r="10">
      <c r="A10" t="inlineStr">
        <is>
          <t>itsc_12turn (integrated thermal)</t>
        </is>
      </c>
      <c r="B10" t="n">
        <v>20</v>
      </c>
      <c r="E10" t="inlineStr">
        <is>
          <t>[{"t": 21.61, "to": "WARN", "cause": "temperature", "value": "95.1"}, {"t": 23.084, "to": "DANGER", "cause": "i2i1", "value": "0.2696"}]</t>
        </is>
      </c>
      <c r="F10" t="inlineStr">
        <is>
          <t>DANGER</t>
        </is>
      </c>
      <c r="G10" t="inlineStr">
        <is>
          <t>i2i1</t>
        </is>
      </c>
    </row>
    <row r="11">
      <c r="A11" t="inlineStr">
        <is>
          <t>itsc_16turn (integrated thermal)</t>
        </is>
      </c>
      <c r="B11" t="n">
        <v>20</v>
      </c>
      <c r="E11" t="inlineStr">
        <is>
          <t>[{"t": 20.849, "to": "WARN", "cause": "temperature", "value": "97.2"}, {"t": 22.214, "to": "DANGER", "cause": "temperature", "value": "140.9"}, {"t": 23.055, "to": "DANGER", "cause": "i2i1", "value": "0.3625"}]</t>
        </is>
      </c>
      <c r="F11" t="inlineStr">
        <is>
          <t>DANGER</t>
        </is>
      </c>
      <c r="G11" t="inlineStr">
        <is>
          <t>i2i1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실행</t>
        </is>
      </c>
      <c r="B1" t="inlineStr">
        <is>
          <t>파일</t>
        </is>
      </c>
      <c r="C1" t="inlineStr">
        <is>
          <t>케이스</t>
        </is>
      </c>
      <c r="D1" t="inlineStr">
        <is>
          <t>재계산</t>
        </is>
      </c>
      <c r="E1" t="inlineStr">
        <is>
          <t>엔진</t>
        </is>
      </c>
      <c r="F1" t="inlineStr">
        <is>
          <t>편차 % (수식)</t>
        </is>
      </c>
      <c r="G1" t="inlineStr">
        <is>
          <t>판정 (수식, ±0.5 %)</t>
        </is>
      </c>
    </row>
    <row r="2">
      <c r="A2" t="inlineStr">
        <is>
          <t>a0</t>
        </is>
      </c>
      <c r="B2" t="inlineStr">
        <is>
          <t>waveform_0000.00_post_healthy.csv</t>
        </is>
      </c>
      <c r="C2" t="inlineStr">
        <is>
          <t>healthy</t>
        </is>
      </c>
      <c r="D2" t="n">
        <v>0.027</v>
      </c>
      <c r="E2" t="n">
        <v>0.027</v>
      </c>
      <c r="F2">
        <f>(D2/E2-1)*100</f>
        <v/>
      </c>
      <c r="G2">
        <f>IF(ABS(F2)&lt;=0.5,"PASS","FAIL")</f>
        <v/>
      </c>
    </row>
    <row r="3">
      <c r="A3" t="inlineStr">
        <is>
          <t>a0</t>
        </is>
      </c>
      <c r="B3" t="inlineStr">
        <is>
          <t>waveform_0000.01_post_healthy.csv</t>
        </is>
      </c>
      <c r="C3" t="inlineStr">
        <is>
          <t>healthy</t>
        </is>
      </c>
      <c r="D3" t="n">
        <v>0.027</v>
      </c>
      <c r="E3" t="n">
        <v>0.027</v>
      </c>
      <c r="F3">
        <f>(D3/E3-1)*100</f>
        <v/>
      </c>
      <c r="G3">
        <f>IF(ABS(F3)&lt;=0.5,"PASS","FAIL")</f>
        <v/>
      </c>
    </row>
    <row r="4">
      <c r="A4" t="inlineStr">
        <is>
          <t>a0</t>
        </is>
      </c>
      <c r="B4" t="inlineStr">
        <is>
          <t>waveform_0000.07_post_healthy.csv</t>
        </is>
      </c>
      <c r="C4" t="inlineStr">
        <is>
          <t>healthy</t>
        </is>
      </c>
      <c r="D4" t="n">
        <v>0.027</v>
      </c>
      <c r="E4" t="n">
        <v>0.027</v>
      </c>
      <c r="F4">
        <f>(D4/E4-1)*100</f>
        <v/>
      </c>
      <c r="G4">
        <f>IF(ABS(F4)&lt;=0.5,"PASS","FAIL")</f>
        <v/>
      </c>
    </row>
    <row r="5">
      <c r="A5" t="inlineStr">
        <is>
          <t>a0</t>
        </is>
      </c>
      <c r="B5" t="inlineStr">
        <is>
          <t>waveform_0000.08_post_healthy.csv</t>
        </is>
      </c>
      <c r="C5" t="inlineStr">
        <is>
          <t>healthy</t>
        </is>
      </c>
      <c r="D5" t="n">
        <v>0.027</v>
      </c>
      <c r="E5" t="n">
        <v>0.027</v>
      </c>
      <c r="F5">
        <f>(D5/E5-1)*100</f>
        <v/>
      </c>
      <c r="G5">
        <f>IF(ABS(F5)&lt;=0.5,"PASS","FAIL")</f>
        <v/>
      </c>
    </row>
    <row r="6">
      <c r="A6" t="inlineStr">
        <is>
          <t>a0</t>
        </is>
      </c>
      <c r="B6" t="inlineStr">
        <is>
          <t>waveform_0020.00_post_itsc_4turn.csv</t>
        </is>
      </c>
      <c r="C6" t="inlineStr">
        <is>
          <t>itsc_4turn</t>
        </is>
      </c>
      <c r="D6" t="n">
        <v>0.07262299999999999</v>
      </c>
      <c r="E6" t="n">
        <v>0.07262</v>
      </c>
      <c r="F6">
        <f>(D6/E6-1)*100</f>
        <v/>
      </c>
      <c r="G6">
        <f>IF(ABS(F6)&lt;=0.5,"PASS","FAIL")</f>
        <v/>
      </c>
    </row>
    <row r="7">
      <c r="A7" t="inlineStr">
        <is>
          <t>a0</t>
        </is>
      </c>
      <c r="B7" t="inlineStr">
        <is>
          <t>waveform_0020.00_pre_healthy.csv</t>
        </is>
      </c>
      <c r="C7" t="inlineStr">
        <is>
          <t>healthy</t>
        </is>
      </c>
      <c r="D7" t="n">
        <v>0.027</v>
      </c>
      <c r="E7" t="n">
        <v>0.027</v>
      </c>
      <c r="F7">
        <f>(D7/E7-1)*100</f>
        <v/>
      </c>
      <c r="G7">
        <f>IF(ABS(F7)&lt;=0.5,"PASS","FAIL")</f>
        <v/>
      </c>
    </row>
    <row r="8">
      <c r="A8" t="inlineStr">
        <is>
          <t>a0</t>
        </is>
      </c>
      <c r="B8" t="inlineStr">
        <is>
          <t>waveform_0020.04_post_itsc_4turn.csv</t>
        </is>
      </c>
      <c r="C8" t="inlineStr">
        <is>
          <t>itsc_4turn</t>
        </is>
      </c>
      <c r="D8" t="n">
        <v>0.07262299999999999</v>
      </c>
      <c r="E8" t="n">
        <v>0.07262</v>
      </c>
      <c r="F8">
        <f>(D8/E8-1)*100</f>
        <v/>
      </c>
      <c r="G8">
        <f>IF(ABS(F8)&lt;=0.5,"PASS","FAIL")</f>
        <v/>
      </c>
    </row>
    <row r="9">
      <c r="A9" t="inlineStr">
        <is>
          <t>a0</t>
        </is>
      </c>
      <c r="B9" t="inlineStr">
        <is>
          <t>waveform_0020.04_pre_healthy.csv</t>
        </is>
      </c>
      <c r="C9" t="inlineStr">
        <is>
          <t>healthy</t>
        </is>
      </c>
      <c r="D9" t="n">
        <v>0.027</v>
      </c>
      <c r="E9" t="n">
        <v>0.027</v>
      </c>
      <c r="F9">
        <f>(D9/E9-1)*100</f>
        <v/>
      </c>
      <c r="G9">
        <f>IF(ABS(F9)&lt;=0.5,"PASS","FAIL")</f>
        <v/>
      </c>
    </row>
    <row r="10">
      <c r="A10" t="inlineStr">
        <is>
          <t>a0</t>
        </is>
      </c>
      <c r="B10" t="inlineStr">
        <is>
          <t>waveform_0020.05_post_itsc_4turn.csv</t>
        </is>
      </c>
      <c r="C10" t="inlineStr">
        <is>
          <t>itsc_4turn</t>
        </is>
      </c>
      <c r="D10" t="n">
        <v>0.07262299999999999</v>
      </c>
      <c r="E10" t="n">
        <v>0.07262</v>
      </c>
      <c r="F10">
        <f>(D10/E10-1)*100</f>
        <v/>
      </c>
      <c r="G10">
        <f>IF(ABS(F10)&lt;=0.5,"PASS","FAIL")</f>
        <v/>
      </c>
    </row>
    <row r="11">
      <c r="A11" t="inlineStr">
        <is>
          <t>a0</t>
        </is>
      </c>
      <c r="B11" t="inlineStr">
        <is>
          <t>waveform_0020.05_pre_healthy.csv</t>
        </is>
      </c>
      <c r="C11" t="inlineStr">
        <is>
          <t>healthy</t>
        </is>
      </c>
      <c r="D11" t="n">
        <v>0.027</v>
      </c>
      <c r="E11" t="n">
        <v>0.027</v>
      </c>
      <c r="F11">
        <f>(D11/E11-1)*100</f>
        <v/>
      </c>
      <c r="G11">
        <f>IF(ABS(F11)&lt;=0.5,"PASS","FAIL")</f>
        <v/>
      </c>
    </row>
    <row r="12">
      <c r="A12" t="inlineStr">
        <is>
          <t>a0</t>
        </is>
      </c>
      <c r="B12" t="inlineStr">
        <is>
          <t>waveform_0045.02_post_itsc_12turn.csv</t>
        </is>
      </c>
      <c r="C12" t="inlineStr">
        <is>
          <t>itsc_12turn</t>
        </is>
      </c>
      <c r="D12" t="n">
        <v>0.269578</v>
      </c>
      <c r="E12" t="n">
        <v>0.26958</v>
      </c>
      <c r="F12">
        <f>(D12/E12-1)*100</f>
        <v/>
      </c>
      <c r="G12">
        <f>IF(ABS(F12)&lt;=0.5,"PASS","FAIL")</f>
        <v/>
      </c>
    </row>
    <row r="13">
      <c r="A13" t="inlineStr">
        <is>
          <t>a0</t>
        </is>
      </c>
      <c r="B13" t="inlineStr">
        <is>
          <t>waveform_0045.02_pre_itsc_4turn.csv</t>
        </is>
      </c>
      <c r="C13" t="inlineStr">
        <is>
          <t>itsc_4turn</t>
        </is>
      </c>
      <c r="D13" t="n">
        <v>0.07262299999999999</v>
      </c>
      <c r="E13" t="n">
        <v>0.07262</v>
      </c>
      <c r="F13">
        <f>(D13/E13-1)*100</f>
        <v/>
      </c>
      <c r="G13">
        <f>IF(ABS(F13)&lt;=0.5,"PASS","FAIL")</f>
        <v/>
      </c>
    </row>
    <row r="14">
      <c r="A14" t="inlineStr">
        <is>
          <t>a0</t>
        </is>
      </c>
      <c r="B14" t="inlineStr">
        <is>
          <t>waveform_0045.03_post_itsc_12turn.csv</t>
        </is>
      </c>
      <c r="C14" t="inlineStr">
        <is>
          <t>itsc_12turn</t>
        </is>
      </c>
      <c r="D14" t="n">
        <v>0.269578</v>
      </c>
      <c r="E14" t="n">
        <v>0.26958</v>
      </c>
      <c r="F14">
        <f>(D14/E14-1)*100</f>
        <v/>
      </c>
      <c r="G14">
        <f>IF(ABS(F14)&lt;=0.5,"PASS","FAIL")</f>
        <v/>
      </c>
    </row>
    <row r="15">
      <c r="A15" t="inlineStr">
        <is>
          <t>a0</t>
        </is>
      </c>
      <c r="B15" t="inlineStr">
        <is>
          <t>waveform_0045.03_pre_itsc_4turn.csv</t>
        </is>
      </c>
      <c r="C15" t="inlineStr">
        <is>
          <t>itsc_4turn</t>
        </is>
      </c>
      <c r="D15" t="n">
        <v>0.07262299999999999</v>
      </c>
      <c r="E15" t="n">
        <v>0.07262</v>
      </c>
      <c r="F15">
        <f>(D15/E15-1)*100</f>
        <v/>
      </c>
      <c r="G15">
        <f>IF(ABS(F15)&lt;=0.5,"PASS","FAIL")</f>
        <v/>
      </c>
    </row>
    <row r="16">
      <c r="A16" t="inlineStr">
        <is>
          <t>a0</t>
        </is>
      </c>
      <c r="B16" t="inlineStr">
        <is>
          <t>waveform_0045.06_post_itsc_12turn.csv</t>
        </is>
      </c>
      <c r="C16" t="inlineStr">
        <is>
          <t>itsc_12turn</t>
        </is>
      </c>
      <c r="D16" t="n">
        <v>0.269578</v>
      </c>
      <c r="E16" t="n">
        <v>0.26958</v>
      </c>
      <c r="F16">
        <f>(D16/E16-1)*100</f>
        <v/>
      </c>
      <c r="G16">
        <f>IF(ABS(F16)&lt;=0.5,"PASS","FAIL")</f>
        <v/>
      </c>
    </row>
    <row r="17">
      <c r="A17" t="inlineStr">
        <is>
          <t>a0</t>
        </is>
      </c>
      <c r="B17" t="inlineStr">
        <is>
          <t>waveform_0045.06_pre_itsc_4turn.csv</t>
        </is>
      </c>
      <c r="C17" t="inlineStr">
        <is>
          <t>itsc_4turn</t>
        </is>
      </c>
      <c r="D17" t="n">
        <v>0.07262299999999999</v>
      </c>
      <c r="E17" t="n">
        <v>0.07262</v>
      </c>
      <c r="F17">
        <f>(D17/E17-1)*100</f>
        <v/>
      </c>
      <c r="G17">
        <f>IF(ABS(F17)&lt;=0.5,"PASS","FAIL")</f>
        <v/>
      </c>
    </row>
    <row r="18">
      <c r="A18" t="inlineStr">
        <is>
          <t>a0</t>
        </is>
      </c>
      <c r="B18" t="inlineStr">
        <is>
          <t>waveform_0075.01_post_overload.csv</t>
        </is>
      </c>
      <c r="C18" t="inlineStr">
        <is>
          <t>overload</t>
        </is>
      </c>
      <c r="D18" t="n">
        <v>0.027</v>
      </c>
      <c r="E18" t="n">
        <v>0.027</v>
      </c>
      <c r="F18">
        <f>(D18/E18-1)*100</f>
        <v/>
      </c>
      <c r="G18">
        <f>IF(ABS(F18)&lt;=0.5,"PASS","FAIL")</f>
        <v/>
      </c>
    </row>
    <row r="19">
      <c r="A19" t="inlineStr">
        <is>
          <t>a0</t>
        </is>
      </c>
      <c r="B19" t="inlineStr">
        <is>
          <t>waveform_0075.01_pre_itsc_12turn.csv</t>
        </is>
      </c>
      <c r="C19" t="inlineStr">
        <is>
          <t>itsc_12turn</t>
        </is>
      </c>
      <c r="D19" t="n">
        <v>0.269578</v>
      </c>
      <c r="E19" t="n">
        <v>0.26958</v>
      </c>
      <c r="F19">
        <f>(D19/E19-1)*100</f>
        <v/>
      </c>
      <c r="G19">
        <f>IF(ABS(F19)&lt;=0.5,"PASS","FAIL")</f>
        <v/>
      </c>
    </row>
    <row r="20">
      <c r="A20" t="inlineStr">
        <is>
          <t>a0</t>
        </is>
      </c>
      <c r="B20" t="inlineStr">
        <is>
          <t>waveform_0075.04_post_overload.csv</t>
        </is>
      </c>
      <c r="C20" t="inlineStr">
        <is>
          <t>overload</t>
        </is>
      </c>
      <c r="D20" t="n">
        <v>0.027</v>
      </c>
      <c r="E20" t="n">
        <v>0.027</v>
      </c>
      <c r="F20">
        <f>(D20/E20-1)*100</f>
        <v/>
      </c>
      <c r="G20">
        <f>IF(ABS(F20)&lt;=0.5,"PASS","FAIL")</f>
        <v/>
      </c>
    </row>
    <row r="21">
      <c r="A21" t="inlineStr">
        <is>
          <t>a0</t>
        </is>
      </c>
      <c r="B21" t="inlineStr">
        <is>
          <t>waveform_0075.04_pre_itsc_12turn.csv</t>
        </is>
      </c>
      <c r="C21" t="inlineStr">
        <is>
          <t>itsc_12turn</t>
        </is>
      </c>
      <c r="D21" t="n">
        <v>0.269578</v>
      </c>
      <c r="E21" t="n">
        <v>0.26958</v>
      </c>
      <c r="F21">
        <f>(D21/E21-1)*100</f>
        <v/>
      </c>
      <c r="G21">
        <f>IF(ABS(F21)&lt;=0.5,"PASS","FAIL")</f>
        <v/>
      </c>
    </row>
    <row r="22">
      <c r="A22" t="inlineStr">
        <is>
          <t>a0</t>
        </is>
      </c>
      <c r="B22" t="inlineStr">
        <is>
          <t>waveform_0075.06_post_overload.csv</t>
        </is>
      </c>
      <c r="C22" t="inlineStr">
        <is>
          <t>overload</t>
        </is>
      </c>
      <c r="D22" t="n">
        <v>0.027</v>
      </c>
      <c r="E22" t="n">
        <v>0.027</v>
      </c>
      <c r="F22">
        <f>(D22/E22-1)*100</f>
        <v/>
      </c>
      <c r="G22">
        <f>IF(ABS(F22)&lt;=0.5,"PASS","FAIL")</f>
        <v/>
      </c>
    </row>
    <row r="23">
      <c r="A23" t="inlineStr">
        <is>
          <t>a0</t>
        </is>
      </c>
      <c r="B23" t="inlineStr">
        <is>
          <t>waveform_0075.06_pre_itsc_12turn.csv</t>
        </is>
      </c>
      <c r="C23" t="inlineStr">
        <is>
          <t>itsc_12turn</t>
        </is>
      </c>
      <c r="D23" t="n">
        <v>0.269578</v>
      </c>
      <c r="E23" t="n">
        <v>0.26958</v>
      </c>
      <c r="F23">
        <f>(D23/E23-1)*100</f>
        <v/>
      </c>
      <c r="G23">
        <f>IF(ABS(F23)&lt;=0.5,"PASS","FAIL")</f>
        <v/>
      </c>
    </row>
    <row r="24">
      <c r="A24" t="inlineStr">
        <is>
          <t>a0</t>
        </is>
      </c>
      <c r="B24" t="inlineStr">
        <is>
          <t>waveform_0095.00_post_voltage_unbalance.csv</t>
        </is>
      </c>
      <c r="C24" t="inlineStr">
        <is>
          <t>voltage_unbalance</t>
        </is>
      </c>
      <c r="D24" t="n">
        <v>0.059508</v>
      </c>
      <c r="E24" t="n">
        <v>0.05951</v>
      </c>
      <c r="F24">
        <f>(D24/E24-1)*100</f>
        <v/>
      </c>
      <c r="G24">
        <f>IF(ABS(F24)&lt;=0.5,"PASS","FAIL")</f>
        <v/>
      </c>
    </row>
    <row r="25">
      <c r="A25" t="inlineStr">
        <is>
          <t>a0</t>
        </is>
      </c>
      <c r="B25" t="inlineStr">
        <is>
          <t>waveform_0095.00_pre_overload.csv</t>
        </is>
      </c>
      <c r="C25" t="inlineStr">
        <is>
          <t>overload</t>
        </is>
      </c>
      <c r="D25" t="n">
        <v>0.027</v>
      </c>
      <c r="E25" t="n">
        <v>0.027</v>
      </c>
      <c r="F25">
        <f>(D25/E25-1)*100</f>
        <v/>
      </c>
      <c r="G25">
        <f>IF(ABS(F25)&lt;=0.5,"PASS","FAIL")</f>
        <v/>
      </c>
    </row>
    <row r="26">
      <c r="A26" t="inlineStr">
        <is>
          <t>a0</t>
        </is>
      </c>
      <c r="B26" t="inlineStr">
        <is>
          <t>waveform_0095.01_post_voltage_unbalance.csv</t>
        </is>
      </c>
      <c r="C26" t="inlineStr">
        <is>
          <t>voltage_unbalance</t>
        </is>
      </c>
      <c r="D26" t="n">
        <v>0.059508</v>
      </c>
      <c r="E26" t="n">
        <v>0.05951</v>
      </c>
      <c r="F26">
        <f>(D26/E26-1)*100</f>
        <v/>
      </c>
      <c r="G26">
        <f>IF(ABS(F26)&lt;=0.5,"PASS","FAIL")</f>
        <v/>
      </c>
    </row>
    <row r="27">
      <c r="A27" t="inlineStr">
        <is>
          <t>a0</t>
        </is>
      </c>
      <c r="B27" t="inlineStr">
        <is>
          <t>waveform_0095.01_pre_overload.csv</t>
        </is>
      </c>
      <c r="C27" t="inlineStr">
        <is>
          <t>overload</t>
        </is>
      </c>
      <c r="D27" t="n">
        <v>0.027</v>
      </c>
      <c r="E27" t="n">
        <v>0.027</v>
      </c>
      <c r="F27">
        <f>(D27/E27-1)*100</f>
        <v/>
      </c>
      <c r="G27">
        <f>IF(ABS(F27)&lt;=0.5,"PASS","FAIL")</f>
        <v/>
      </c>
    </row>
    <row r="28">
      <c r="A28" t="inlineStr">
        <is>
          <t>a0</t>
        </is>
      </c>
      <c r="B28" t="inlineStr">
        <is>
          <t>waveform_0095.04_post_voltage_unbalance.csv</t>
        </is>
      </c>
      <c r="C28" t="inlineStr">
        <is>
          <t>voltage_unbalance</t>
        </is>
      </c>
      <c r="D28" t="n">
        <v>0.059508</v>
      </c>
      <c r="E28" t="n">
        <v>0.05951</v>
      </c>
      <c r="F28">
        <f>(D28/E28-1)*100</f>
        <v/>
      </c>
      <c r="G28">
        <f>IF(ABS(F28)&lt;=0.5,"PASS","FAIL")</f>
        <v/>
      </c>
    </row>
    <row r="29">
      <c r="A29" t="inlineStr">
        <is>
          <t>a0</t>
        </is>
      </c>
      <c r="B29" t="inlineStr">
        <is>
          <t>waveform_0095.04_pre_overload.csv</t>
        </is>
      </c>
      <c r="C29" t="inlineStr">
        <is>
          <t>overload</t>
        </is>
      </c>
      <c r="D29" t="n">
        <v>0.027</v>
      </c>
      <c r="E29" t="n">
        <v>0.027</v>
      </c>
      <c r="F29">
        <f>(D29/E29-1)*100</f>
        <v/>
      </c>
      <c r="G29">
        <f>IF(ABS(F29)&lt;=0.5,"PASS","FAIL")</f>
        <v/>
      </c>
    </row>
    <row r="30">
      <c r="A30" t="inlineStr">
        <is>
          <t>a0</t>
        </is>
      </c>
      <c r="B30" t="inlineStr">
        <is>
          <t>waveform_0120.02_post_single_phasing.csv</t>
        </is>
      </c>
      <c r="C30" t="inlineStr">
        <is>
          <t>single_phasing</t>
        </is>
      </c>
      <c r="D30" t="n">
        <v>0.479167</v>
      </c>
      <c r="E30" t="n">
        <v>0.47917</v>
      </c>
      <c r="F30">
        <f>(D30/E30-1)*100</f>
        <v/>
      </c>
      <c r="G30">
        <f>IF(ABS(F30)&lt;=0.5,"PASS","FAIL")</f>
        <v/>
      </c>
    </row>
    <row r="31">
      <c r="A31" t="inlineStr">
        <is>
          <t>a0</t>
        </is>
      </c>
      <c r="B31" t="inlineStr">
        <is>
          <t>waveform_0120.02_pre_voltage_unbalance.csv</t>
        </is>
      </c>
      <c r="C31" t="inlineStr">
        <is>
          <t>voltage_unbalance</t>
        </is>
      </c>
      <c r="D31" t="n">
        <v>0.059508</v>
      </c>
      <c r="E31" t="n">
        <v>0.05951</v>
      </c>
      <c r="F31">
        <f>(D31/E31-1)*100</f>
        <v/>
      </c>
      <c r="G31">
        <f>IF(ABS(F31)&lt;=0.5,"PASS","FAIL")</f>
        <v/>
      </c>
    </row>
    <row r="32">
      <c r="A32" t="inlineStr">
        <is>
          <t>a0</t>
        </is>
      </c>
      <c r="B32" t="inlineStr">
        <is>
          <t>waveform_0120.03_post_single_phasing.csv</t>
        </is>
      </c>
      <c r="C32" t="inlineStr">
        <is>
          <t>single_phasing</t>
        </is>
      </c>
      <c r="D32" t="n">
        <v>0.479167</v>
      </c>
      <c r="E32" t="n">
        <v>0.47917</v>
      </c>
      <c r="F32">
        <f>(D32/E32-1)*100</f>
        <v/>
      </c>
      <c r="G32">
        <f>IF(ABS(F32)&lt;=0.5,"PASS","FAIL")</f>
        <v/>
      </c>
    </row>
    <row r="33">
      <c r="A33" t="inlineStr">
        <is>
          <t>a0</t>
        </is>
      </c>
      <c r="B33" t="inlineStr">
        <is>
          <t>waveform_0120.03_pre_voltage_unbalance.csv</t>
        </is>
      </c>
      <c r="C33" t="inlineStr">
        <is>
          <t>voltage_unbalance</t>
        </is>
      </c>
      <c r="D33" t="n">
        <v>0.059508</v>
      </c>
      <c r="E33" t="n">
        <v>0.05951</v>
      </c>
      <c r="F33">
        <f>(D33/E33-1)*100</f>
        <v/>
      </c>
      <c r="G33">
        <f>IF(ABS(F33)&lt;=0.5,"PASS","FAIL")</f>
        <v/>
      </c>
    </row>
    <row r="34">
      <c r="A34" t="inlineStr">
        <is>
          <t>a0</t>
        </is>
      </c>
      <c r="B34" t="inlineStr">
        <is>
          <t>waveform_0120.06_post_single_phasing.csv</t>
        </is>
      </c>
      <c r="C34" t="inlineStr">
        <is>
          <t>single_phasing</t>
        </is>
      </c>
      <c r="D34" t="n">
        <v>0.479167</v>
      </c>
      <c r="E34" t="n">
        <v>0.47917</v>
      </c>
      <c r="F34">
        <f>(D34/E34-1)*100</f>
        <v/>
      </c>
      <c r="G34">
        <f>IF(ABS(F34)&lt;=0.5,"PASS","FAIL")</f>
        <v/>
      </c>
    </row>
    <row r="35">
      <c r="A35" t="inlineStr">
        <is>
          <t>a0</t>
        </is>
      </c>
      <c r="B35" t="inlineStr">
        <is>
          <t>waveform_0120.06_pre_voltage_unbalance.csv</t>
        </is>
      </c>
      <c r="C35" t="inlineStr">
        <is>
          <t>voltage_unbalance</t>
        </is>
      </c>
      <c r="D35" t="n">
        <v>0.059508</v>
      </c>
      <c r="E35" t="n">
        <v>0.05951</v>
      </c>
      <c r="F35">
        <f>(D35/E35-1)*100</f>
        <v/>
      </c>
      <c r="G35">
        <f>IF(ABS(F35)&lt;=0.5,"PASS","FAIL")</f>
        <v/>
      </c>
    </row>
    <row r="36">
      <c r="A36" t="inlineStr">
        <is>
          <t>a0</t>
        </is>
      </c>
      <c r="B36" t="inlineStr">
        <is>
          <t>waveform_0145.00_post_no_load.csv</t>
        </is>
      </c>
      <c r="C36" t="inlineStr">
        <is>
          <t>no_load</t>
        </is>
      </c>
      <c r="D36" t="n">
        <v>0.027</v>
      </c>
      <c r="E36" t="n">
        <v>0.027</v>
      </c>
      <c r="F36">
        <f>(D36/E36-1)*100</f>
        <v/>
      </c>
      <c r="G36">
        <f>IF(ABS(F36)&lt;=0.5,"PASS","FAIL")</f>
        <v/>
      </c>
    </row>
    <row r="37">
      <c r="A37" t="inlineStr">
        <is>
          <t>a0</t>
        </is>
      </c>
      <c r="B37" t="inlineStr">
        <is>
          <t>waveform_0145.00_pre_single_phasing.csv</t>
        </is>
      </c>
      <c r="C37" t="inlineStr">
        <is>
          <t>single_phasing</t>
        </is>
      </c>
      <c r="D37" t="n">
        <v>0.479167</v>
      </c>
      <c r="E37" t="n">
        <v>0.47917</v>
      </c>
      <c r="F37">
        <f>(D37/E37-1)*100</f>
        <v/>
      </c>
      <c r="G37">
        <f>IF(ABS(F37)&lt;=0.5,"PASS","FAIL")</f>
        <v/>
      </c>
    </row>
    <row r="38">
      <c r="A38" t="inlineStr">
        <is>
          <t>a0</t>
        </is>
      </c>
      <c r="B38" t="inlineStr">
        <is>
          <t>waveform_0145.01_post_no_load.csv</t>
        </is>
      </c>
      <c r="C38" t="inlineStr">
        <is>
          <t>no_load</t>
        </is>
      </c>
      <c r="D38" t="n">
        <v>0.027</v>
      </c>
      <c r="E38" t="n">
        <v>0.027</v>
      </c>
      <c r="F38">
        <f>(D38/E38-1)*100</f>
        <v/>
      </c>
      <c r="G38">
        <f>IF(ABS(F38)&lt;=0.5,"PASS","FAIL")</f>
        <v/>
      </c>
    </row>
    <row r="39">
      <c r="A39" t="inlineStr">
        <is>
          <t>a0</t>
        </is>
      </c>
      <c r="B39" t="inlineStr">
        <is>
          <t>waveform_0145.01_pre_single_phasing.csv</t>
        </is>
      </c>
      <c r="C39" t="inlineStr">
        <is>
          <t>single_phasing</t>
        </is>
      </c>
      <c r="D39" t="n">
        <v>0.479167</v>
      </c>
      <c r="E39" t="n">
        <v>0.47917</v>
      </c>
      <c r="F39">
        <f>(D39/E39-1)*100</f>
        <v/>
      </c>
      <c r="G39">
        <f>IF(ABS(F39)&lt;=0.5,"PASS","FAIL")</f>
        <v/>
      </c>
    </row>
    <row r="40">
      <c r="A40" t="inlineStr">
        <is>
          <t>a0</t>
        </is>
      </c>
      <c r="B40" t="inlineStr">
        <is>
          <t>waveform_0145.03_post_no_load.csv</t>
        </is>
      </c>
      <c r="C40" t="inlineStr">
        <is>
          <t>no_load</t>
        </is>
      </c>
      <c r="D40" t="n">
        <v>0.027</v>
      </c>
      <c r="E40" t="n">
        <v>0.027</v>
      </c>
      <c r="F40">
        <f>(D40/E40-1)*100</f>
        <v/>
      </c>
      <c r="G40">
        <f>IF(ABS(F40)&lt;=0.5,"PASS","FAIL")</f>
        <v/>
      </c>
    </row>
    <row r="41">
      <c r="A41" t="inlineStr">
        <is>
          <t>a0</t>
        </is>
      </c>
      <c r="B41" t="inlineStr">
        <is>
          <t>waveform_0145.03_pre_single_phasing.csv</t>
        </is>
      </c>
      <c r="C41" t="inlineStr">
        <is>
          <t>single_phasing</t>
        </is>
      </c>
      <c r="D41" t="n">
        <v>0.479167</v>
      </c>
      <c r="E41" t="n">
        <v>0.47917</v>
      </c>
      <c r="F41">
        <f>(D41/E41-1)*100</f>
        <v/>
      </c>
      <c r="G41">
        <f>IF(ABS(F41)&lt;=0.5,"PASS","FAIL")</f>
        <v/>
      </c>
    </row>
    <row r="42">
      <c r="A42" t="inlineStr">
        <is>
          <t>a0</t>
        </is>
      </c>
      <c r="B42" t="inlineStr">
        <is>
          <t>waveform_0145.05_post_no_load.csv</t>
        </is>
      </c>
      <c r="C42" t="inlineStr">
        <is>
          <t>no_load</t>
        </is>
      </c>
      <c r="D42" t="n">
        <v>0.027</v>
      </c>
      <c r="E42" t="n">
        <v>0.027</v>
      </c>
      <c r="F42">
        <f>(D42/E42-1)*100</f>
        <v/>
      </c>
      <c r="G42">
        <f>IF(ABS(F42)&lt;=0.5,"PASS","FAIL")</f>
        <v/>
      </c>
    </row>
    <row r="43">
      <c r="A43" t="inlineStr">
        <is>
          <t>a0</t>
        </is>
      </c>
      <c r="B43" t="inlineStr">
        <is>
          <t>waveform_0145.05_pre_single_phasing.csv</t>
        </is>
      </c>
      <c r="C43" t="inlineStr">
        <is>
          <t>single_phasing</t>
        </is>
      </c>
      <c r="D43" t="n">
        <v>0.479167</v>
      </c>
      <c r="E43" t="n">
        <v>0.47917</v>
      </c>
      <c r="F43">
        <f>(D43/E43-1)*100</f>
        <v/>
      </c>
      <c r="G43">
        <f>IF(ABS(F43)&lt;=0.5,"PASS","FAIL")</f>
        <v/>
      </c>
    </row>
    <row r="44">
      <c r="A44" t="inlineStr">
        <is>
          <t>a0</t>
        </is>
      </c>
      <c r="B44" t="inlineStr">
        <is>
          <t>waveform_0165.03_post_itsc_8turn.csv</t>
        </is>
      </c>
      <c r="C44" t="inlineStr">
        <is>
          <t>itsc_8turn</t>
        </is>
      </c>
      <c r="D44" t="n">
        <v>0.167573</v>
      </c>
      <c r="E44" t="n">
        <v>0.16757</v>
      </c>
      <c r="F44">
        <f>(D44/E44-1)*100</f>
        <v/>
      </c>
      <c r="G44">
        <f>IF(ABS(F44)&lt;=0.5,"PASS","FAIL")</f>
        <v/>
      </c>
    </row>
    <row r="45">
      <c r="A45" t="inlineStr">
        <is>
          <t>a0</t>
        </is>
      </c>
      <c r="B45" t="inlineStr">
        <is>
          <t>waveform_0165.03_pre_no_load.csv</t>
        </is>
      </c>
      <c r="C45" t="inlineStr">
        <is>
          <t>no_load</t>
        </is>
      </c>
      <c r="D45" t="n">
        <v>0.027</v>
      </c>
      <c r="E45" t="n">
        <v>0.027</v>
      </c>
      <c r="F45">
        <f>(D45/E45-1)*100</f>
        <v/>
      </c>
      <c r="G45">
        <f>IF(ABS(F45)&lt;=0.5,"PASS","FAIL")</f>
        <v/>
      </c>
    </row>
    <row r="46">
      <c r="A46" t="inlineStr">
        <is>
          <t>a0</t>
        </is>
      </c>
      <c r="B46" t="inlineStr">
        <is>
          <t>waveform_0165.04_post_itsc_8turn.csv</t>
        </is>
      </c>
      <c r="C46" t="inlineStr">
        <is>
          <t>itsc_8turn</t>
        </is>
      </c>
      <c r="D46" t="n">
        <v>0.167573</v>
      </c>
      <c r="E46" t="n">
        <v>0.16757</v>
      </c>
      <c r="F46">
        <f>(D46/E46-1)*100</f>
        <v/>
      </c>
      <c r="G46">
        <f>IF(ABS(F46)&lt;=0.5,"PASS","FAIL")</f>
        <v/>
      </c>
    </row>
    <row r="47">
      <c r="A47" t="inlineStr">
        <is>
          <t>a0</t>
        </is>
      </c>
      <c r="B47" t="inlineStr">
        <is>
          <t>waveform_0165.04_pre_no_load.csv</t>
        </is>
      </c>
      <c r="C47" t="inlineStr">
        <is>
          <t>no_load</t>
        </is>
      </c>
      <c r="D47" t="n">
        <v>0.027</v>
      </c>
      <c r="E47" t="n">
        <v>0.027</v>
      </c>
      <c r="F47">
        <f>(D47/E47-1)*100</f>
        <v/>
      </c>
      <c r="G47">
        <f>IF(ABS(F47)&lt;=0.5,"PASS","FAIL")</f>
        <v/>
      </c>
    </row>
    <row r="48">
      <c r="A48" t="inlineStr">
        <is>
          <t>a0</t>
        </is>
      </c>
      <c r="B48" t="inlineStr">
        <is>
          <t>waveform_0165.05_post_itsc_8turn.csv</t>
        </is>
      </c>
      <c r="C48" t="inlineStr">
        <is>
          <t>itsc_8turn</t>
        </is>
      </c>
      <c r="D48" t="n">
        <v>0.167573</v>
      </c>
      <c r="E48" t="n">
        <v>0.16757</v>
      </c>
      <c r="F48">
        <f>(D48/E48-1)*100</f>
        <v/>
      </c>
      <c r="G48">
        <f>IF(ABS(F48)&lt;=0.5,"PASS","FAIL")</f>
        <v/>
      </c>
    </row>
    <row r="49">
      <c r="A49" t="inlineStr">
        <is>
          <t>a0</t>
        </is>
      </c>
      <c r="B49" t="inlineStr">
        <is>
          <t>waveform_0165.05_pre_no_load.csv</t>
        </is>
      </c>
      <c r="C49" t="inlineStr">
        <is>
          <t>no_load</t>
        </is>
      </c>
      <c r="D49" t="n">
        <v>0.027</v>
      </c>
      <c r="E49" t="n">
        <v>0.027</v>
      </c>
      <c r="F49">
        <f>(D49/E49-1)*100</f>
        <v/>
      </c>
      <c r="G49">
        <f>IF(ABS(F49)&lt;=0.5,"PASS","FAIL")</f>
        <v/>
      </c>
    </row>
    <row r="50">
      <c r="A50" t="inlineStr">
        <is>
          <t>a0</t>
        </is>
      </c>
      <c r="B50" t="inlineStr">
        <is>
          <t>waveform_0185.02_post_itsc_16turn.csv</t>
        </is>
      </c>
      <c r="C50" t="inlineStr">
        <is>
          <t>itsc_16turn</t>
        </is>
      </c>
      <c r="D50" t="n">
        <v>0.362533</v>
      </c>
      <c r="E50" t="n">
        <v>0.36253</v>
      </c>
      <c r="F50">
        <f>(D50/E50-1)*100</f>
        <v/>
      </c>
      <c r="G50">
        <f>IF(ABS(F50)&lt;=0.5,"PASS","FAIL")</f>
        <v/>
      </c>
    </row>
    <row r="51">
      <c r="A51" t="inlineStr">
        <is>
          <t>a0</t>
        </is>
      </c>
      <c r="B51" t="inlineStr">
        <is>
          <t>waveform_0185.02_pre_itsc_8turn.csv</t>
        </is>
      </c>
      <c r="C51" t="inlineStr">
        <is>
          <t>itsc_8turn</t>
        </is>
      </c>
      <c r="D51" t="n">
        <v>0.167573</v>
      </c>
      <c r="E51" t="n">
        <v>0.16757</v>
      </c>
      <c r="F51">
        <f>(D51/E51-1)*100</f>
        <v/>
      </c>
      <c r="G51">
        <f>IF(ABS(F51)&lt;=0.5,"PASS","FAIL")</f>
        <v/>
      </c>
    </row>
    <row r="52">
      <c r="A52" t="inlineStr">
        <is>
          <t>a0</t>
        </is>
      </c>
      <c r="B52" t="inlineStr">
        <is>
          <t>waveform_0205.00_post_itsc_4turn_resistive.csv</t>
        </is>
      </c>
      <c r="C52" t="inlineStr">
        <is>
          <t>itsc_4turn_resistive</t>
        </is>
      </c>
      <c r="D52" t="n">
        <v>0.032438</v>
      </c>
      <c r="E52" t="n">
        <v>0.03244</v>
      </c>
      <c r="F52">
        <f>(D52/E52-1)*100</f>
        <v/>
      </c>
      <c r="G52">
        <f>IF(ABS(F52)&lt;=0.5,"PASS","FAIL")</f>
        <v/>
      </c>
    </row>
    <row r="53">
      <c r="A53" t="inlineStr">
        <is>
          <t>a0</t>
        </is>
      </c>
      <c r="B53" t="inlineStr">
        <is>
          <t>waveform_0205.00_pre_itsc_16turn.csv</t>
        </is>
      </c>
      <c r="C53" t="inlineStr">
        <is>
          <t>itsc_16turn</t>
        </is>
      </c>
      <c r="D53" t="n">
        <v>0.362533</v>
      </c>
      <c r="E53" t="n">
        <v>0.36253</v>
      </c>
      <c r="F53">
        <f>(D53/E53-1)*100</f>
        <v/>
      </c>
      <c r="G53">
        <f>IF(ABS(F53)&lt;=0.5,"PASS","FAIL")</f>
        <v/>
      </c>
    </row>
    <row r="54">
      <c r="A54" t="inlineStr">
        <is>
          <t>a0</t>
        </is>
      </c>
      <c r="B54" t="inlineStr">
        <is>
          <t>waveform_0205.01_post_itsc_4turn_resistive.csv</t>
        </is>
      </c>
      <c r="C54" t="inlineStr">
        <is>
          <t>itsc_4turn_resistive</t>
        </is>
      </c>
      <c r="D54" t="n">
        <v>0.032438</v>
      </c>
      <c r="E54" t="n">
        <v>0.03244</v>
      </c>
      <c r="F54">
        <f>(D54/E54-1)*100</f>
        <v/>
      </c>
      <c r="G54">
        <f>IF(ABS(F54)&lt;=0.5,"PASS","FAIL")</f>
        <v/>
      </c>
    </row>
    <row r="55">
      <c r="A55" t="inlineStr">
        <is>
          <t>a0</t>
        </is>
      </c>
      <c r="B55" t="inlineStr">
        <is>
          <t>waveform_0205.01_pre_itsc_16turn.csv</t>
        </is>
      </c>
      <c r="C55" t="inlineStr">
        <is>
          <t>itsc_16turn</t>
        </is>
      </c>
      <c r="D55" t="n">
        <v>0.362533</v>
      </c>
      <c r="E55" t="n">
        <v>0.36253</v>
      </c>
      <c r="F55">
        <f>(D55/E55-1)*100</f>
        <v/>
      </c>
      <c r="G55">
        <f>IF(ABS(F55)&lt;=0.5,"PASS","FAIL")</f>
        <v/>
      </c>
    </row>
    <row r="56">
      <c r="A56" t="inlineStr">
        <is>
          <t>a0</t>
        </is>
      </c>
      <c r="B56" t="inlineStr">
        <is>
          <t>waveform_0205.05_post_itsc_4turn_resistive.csv</t>
        </is>
      </c>
      <c r="C56" t="inlineStr">
        <is>
          <t>itsc_4turn_resistive</t>
        </is>
      </c>
      <c r="D56" t="n">
        <v>0.032438</v>
      </c>
      <c r="E56" t="n">
        <v>0.03244</v>
      </c>
      <c r="F56">
        <f>(D56/E56-1)*100</f>
        <v/>
      </c>
      <c r="G56">
        <f>IF(ABS(F56)&lt;=0.5,"PASS","FAIL")</f>
        <v/>
      </c>
    </row>
    <row r="57">
      <c r="A57" t="inlineStr">
        <is>
          <t>a0</t>
        </is>
      </c>
      <c r="B57" t="inlineStr">
        <is>
          <t>waveform_0205.05_pre_itsc_16turn.csv</t>
        </is>
      </c>
      <c r="C57" t="inlineStr">
        <is>
          <t>itsc_16turn</t>
        </is>
      </c>
      <c r="D57" t="n">
        <v>0.362533</v>
      </c>
      <c r="E57" t="n">
        <v>0.36253</v>
      </c>
      <c r="F57">
        <f>(D57/E57-1)*100</f>
        <v/>
      </c>
      <c r="G57">
        <f>IF(ABS(F57)&lt;=0.5,"PASS","FAIL")</f>
        <v/>
      </c>
    </row>
    <row r="58">
      <c r="A58" t="inlineStr">
        <is>
          <t>a0</t>
        </is>
      </c>
      <c r="B58" t="inlineStr">
        <is>
          <t>waveform_0205.06_post_itsc_4turn_resistive.csv</t>
        </is>
      </c>
      <c r="C58" t="inlineStr">
        <is>
          <t>itsc_4turn_resistive</t>
        </is>
      </c>
      <c r="D58" t="n">
        <v>0.032438</v>
      </c>
      <c r="E58" t="n">
        <v>0.03244</v>
      </c>
      <c r="F58">
        <f>(D58/E58-1)*100</f>
        <v/>
      </c>
      <c r="G58">
        <f>IF(ABS(F58)&lt;=0.5,"PASS","FAIL")</f>
        <v/>
      </c>
    </row>
    <row r="59">
      <c r="A59" t="inlineStr">
        <is>
          <t>a0</t>
        </is>
      </c>
      <c r="B59" t="inlineStr">
        <is>
          <t>waveform_0205.06_pre_itsc_16turn.csv</t>
        </is>
      </c>
      <c r="C59" t="inlineStr">
        <is>
          <t>itsc_16turn</t>
        </is>
      </c>
      <c r="D59" t="n">
        <v>0.362533</v>
      </c>
      <c r="E59" t="n">
        <v>0.36253</v>
      </c>
      <c r="F59">
        <f>(D59/E59-1)*100</f>
        <v/>
      </c>
      <c r="G59">
        <f>IF(ABS(F59)&lt;=0.5,"PASS","FAIL")</f>
        <v/>
      </c>
    </row>
    <row r="60">
      <c r="A60" t="inlineStr">
        <is>
          <t>a0</t>
        </is>
      </c>
      <c r="B60" t="inlineStr">
        <is>
          <t>waveform_0225.01_post_itsc_4turn_halfload.csv</t>
        </is>
      </c>
      <c r="C60" t="inlineStr">
        <is>
          <t>itsc_4turn_halfload</t>
        </is>
      </c>
      <c r="D60" t="n">
        <v>0.095294</v>
      </c>
      <c r="E60" t="n">
        <v>0.09529</v>
      </c>
      <c r="F60">
        <f>(D60/E60-1)*100</f>
        <v/>
      </c>
      <c r="G60">
        <f>IF(ABS(F60)&lt;=0.5,"PASS","FAIL")</f>
        <v/>
      </c>
    </row>
    <row r="61">
      <c r="A61" t="inlineStr">
        <is>
          <t>a0</t>
        </is>
      </c>
      <c r="B61" t="inlineStr">
        <is>
          <t>waveform_0225.01_pre_itsc_4turn_resistive.csv</t>
        </is>
      </c>
      <c r="C61" t="inlineStr">
        <is>
          <t>itsc_4turn_resistive</t>
        </is>
      </c>
      <c r="D61" t="n">
        <v>0.032438</v>
      </c>
      <c r="E61" t="n">
        <v>0.03244</v>
      </c>
      <c r="F61">
        <f>(D61/E61-1)*100</f>
        <v/>
      </c>
      <c r="G61">
        <f>IF(ABS(F61)&lt;=0.5,"PASS","FAIL")</f>
        <v/>
      </c>
    </row>
    <row r="62">
      <c r="A62" t="inlineStr">
        <is>
          <t>a0</t>
        </is>
      </c>
      <c r="B62" t="inlineStr">
        <is>
          <t>waveform_0225.02_post_itsc_4turn_halfload.csv</t>
        </is>
      </c>
      <c r="C62" t="inlineStr">
        <is>
          <t>itsc_4turn_halfload</t>
        </is>
      </c>
      <c r="D62" t="n">
        <v>0.095294</v>
      </c>
      <c r="E62" t="n">
        <v>0.09529</v>
      </c>
      <c r="F62">
        <f>(D62/E62-1)*100</f>
        <v/>
      </c>
      <c r="G62">
        <f>IF(ABS(F62)&lt;=0.5,"PASS","FAIL")</f>
        <v/>
      </c>
    </row>
    <row r="63">
      <c r="A63" t="inlineStr">
        <is>
          <t>a0</t>
        </is>
      </c>
      <c r="B63" t="inlineStr">
        <is>
          <t>waveform_0225.02_pre_itsc_4turn_resistive.csv</t>
        </is>
      </c>
      <c r="C63" t="inlineStr">
        <is>
          <t>itsc_4turn_resistive</t>
        </is>
      </c>
      <c r="D63" t="n">
        <v>0.032438</v>
      </c>
      <c r="E63" t="n">
        <v>0.03244</v>
      </c>
      <c r="F63">
        <f>(D63/E63-1)*100</f>
        <v/>
      </c>
      <c r="G63">
        <f>IF(ABS(F63)&lt;=0.5,"PASS","FAIL")</f>
        <v/>
      </c>
    </row>
    <row r="64">
      <c r="A64" t="inlineStr">
        <is>
          <t>a0</t>
        </is>
      </c>
      <c r="B64" t="inlineStr">
        <is>
          <t>waveform_0225.03_post_itsc_4turn_halfload.csv</t>
        </is>
      </c>
      <c r="C64" t="inlineStr">
        <is>
          <t>itsc_4turn_halfload</t>
        </is>
      </c>
      <c r="D64" t="n">
        <v>0.095294</v>
      </c>
      <c r="E64" t="n">
        <v>0.09529</v>
      </c>
      <c r="F64">
        <f>(D64/E64-1)*100</f>
        <v/>
      </c>
      <c r="G64">
        <f>IF(ABS(F64)&lt;=0.5,"PASS","FAIL")</f>
        <v/>
      </c>
    </row>
    <row r="65">
      <c r="A65" t="inlineStr">
        <is>
          <t>a0</t>
        </is>
      </c>
      <c r="B65" t="inlineStr">
        <is>
          <t>waveform_0225.03_pre_itsc_4turn_resistive.csv</t>
        </is>
      </c>
      <c r="C65" t="inlineStr">
        <is>
          <t>itsc_4turn_resistive</t>
        </is>
      </c>
      <c r="D65" t="n">
        <v>0.032438</v>
      </c>
      <c r="E65" t="n">
        <v>0.03244</v>
      </c>
      <c r="F65">
        <f>(D65/E65-1)*100</f>
        <v/>
      </c>
      <c r="G65">
        <f>IF(ABS(F65)&lt;=0.5,"PASS","FAIL")</f>
        <v/>
      </c>
    </row>
    <row r="66">
      <c r="A66" t="inlineStr">
        <is>
          <t>a0</t>
        </is>
      </c>
      <c r="B66" t="inlineStr">
        <is>
          <t>waveform_0225.06_post_itsc_4turn_halfload.csv</t>
        </is>
      </c>
      <c r="C66" t="inlineStr">
        <is>
          <t>itsc_4turn_halfload</t>
        </is>
      </c>
      <c r="D66" t="n">
        <v>0.095294</v>
      </c>
      <c r="E66" t="n">
        <v>0.09529</v>
      </c>
      <c r="F66">
        <f>(D66/E66-1)*100</f>
        <v/>
      </c>
      <c r="G66">
        <f>IF(ABS(F66)&lt;=0.5,"PASS","FAIL")</f>
        <v/>
      </c>
    </row>
    <row r="67">
      <c r="A67" t="inlineStr">
        <is>
          <t>a0</t>
        </is>
      </c>
      <c r="B67" t="inlineStr">
        <is>
          <t>waveform_0225.06_pre_itsc_4turn_resistive.csv</t>
        </is>
      </c>
      <c r="C67" t="inlineStr">
        <is>
          <t>itsc_4turn_resistive</t>
        </is>
      </c>
      <c r="D67" t="n">
        <v>0.032438</v>
      </c>
      <c r="E67" t="n">
        <v>0.03244</v>
      </c>
      <c r="F67">
        <f>(D67/E67-1)*100</f>
        <v/>
      </c>
      <c r="G67">
        <f>IF(ABS(F67)&lt;=0.5,"PASS","FAIL")</f>
        <v/>
      </c>
    </row>
    <row r="68">
      <c r="A68" t="inlineStr">
        <is>
          <t>a0</t>
        </is>
      </c>
      <c r="B68" t="inlineStr">
        <is>
          <t>waveform_0245.01_post_itsc_4turn_halfload.csv</t>
        </is>
      </c>
      <c r="C68" t="inlineStr">
        <is>
          <t>itsc_4turn_halfload</t>
        </is>
      </c>
      <c r="D68" t="n">
        <v>0.095294</v>
      </c>
      <c r="E68" t="n">
        <v>0.09529</v>
      </c>
      <c r="F68">
        <f>(D68/E68-1)*100</f>
        <v/>
      </c>
      <c r="G68">
        <f>IF(ABS(F68)&lt;=0.5,"PASS","FAIL")</f>
        <v/>
      </c>
    </row>
    <row r="69">
      <c r="A69" t="inlineStr">
        <is>
          <t>a0</t>
        </is>
      </c>
      <c r="B69" t="inlineStr">
        <is>
          <t>waveform_0245.01_pre_itsc_4turn_halfload.csv</t>
        </is>
      </c>
      <c r="C69" t="inlineStr">
        <is>
          <t>itsc_4turn_halfload</t>
        </is>
      </c>
      <c r="D69" t="n">
        <v>0.095294</v>
      </c>
      <c r="E69" t="n">
        <v>0.09529</v>
      </c>
      <c r="F69">
        <f>(D69/E69-1)*100</f>
        <v/>
      </c>
      <c r="G69">
        <f>IF(ABS(F69)&lt;=0.5,"PASS","FAIL")</f>
        <v/>
      </c>
    </row>
    <row r="70">
      <c r="A70" t="inlineStr">
        <is>
          <t>a0</t>
        </is>
      </c>
      <c r="B70" t="inlineStr">
        <is>
          <t>waveform_0245.02_post_itsc_4turn_halfload.csv</t>
        </is>
      </c>
      <c r="C70" t="inlineStr">
        <is>
          <t>itsc_4turn_halfload</t>
        </is>
      </c>
      <c r="D70" t="n">
        <v>0.095294</v>
      </c>
      <c r="E70" t="n">
        <v>0.09529</v>
      </c>
      <c r="F70">
        <f>(D70/E70-1)*100</f>
        <v/>
      </c>
      <c r="G70">
        <f>IF(ABS(F70)&lt;=0.5,"PASS","FAIL")</f>
        <v/>
      </c>
    </row>
    <row r="71">
      <c r="A71" t="inlineStr">
        <is>
          <t>a0</t>
        </is>
      </c>
      <c r="B71" t="inlineStr">
        <is>
          <t>waveform_0245.02_pre_itsc_4turn_halfload.csv</t>
        </is>
      </c>
      <c r="C71" t="inlineStr">
        <is>
          <t>itsc_4turn_halfload</t>
        </is>
      </c>
      <c r="D71" t="n">
        <v>0.095294</v>
      </c>
      <c r="E71" t="n">
        <v>0.09529</v>
      </c>
      <c r="F71">
        <f>(D71/E71-1)*100</f>
        <v/>
      </c>
      <c r="G71">
        <f>IF(ABS(F71)&lt;=0.5,"PASS","FAIL")</f>
        <v/>
      </c>
    </row>
    <row r="72">
      <c r="A72" t="inlineStr">
        <is>
          <t>a0</t>
        </is>
      </c>
      <c r="B72" t="inlineStr">
        <is>
          <t>waveform_0245.03_post_itsc_4turn_halfload.csv</t>
        </is>
      </c>
      <c r="C72" t="inlineStr">
        <is>
          <t>itsc_4turn_halfload</t>
        </is>
      </c>
      <c r="D72" t="n">
        <v>0.095294</v>
      </c>
      <c r="E72" t="n">
        <v>0.09529</v>
      </c>
      <c r="F72">
        <f>(D72/E72-1)*100</f>
        <v/>
      </c>
      <c r="G72">
        <f>IF(ABS(F72)&lt;=0.5,"PASS","FAIL")</f>
        <v/>
      </c>
    </row>
    <row r="73">
      <c r="A73" t="inlineStr">
        <is>
          <t>a0</t>
        </is>
      </c>
      <c r="B73" t="inlineStr">
        <is>
          <t>waveform_0245.03_pre_itsc_4turn_halfload.csv</t>
        </is>
      </c>
      <c r="C73" t="inlineStr">
        <is>
          <t>itsc_4turn_halfload</t>
        </is>
      </c>
      <c r="D73" t="n">
        <v>0.095294</v>
      </c>
      <c r="E73" t="n">
        <v>0.09529</v>
      </c>
      <c r="F73">
        <f>(D73/E73-1)*100</f>
        <v/>
      </c>
      <c r="G73">
        <f>IF(ABS(F73)&lt;=0.5,"PASS","FAIL")</f>
        <v/>
      </c>
    </row>
    <row r="74">
      <c r="A74" t="inlineStr">
        <is>
          <t>a0</t>
        </is>
      </c>
      <c r="B74" t="inlineStr">
        <is>
          <t>waveform_0245.04_post_itsc_4turn_halfload.csv</t>
        </is>
      </c>
      <c r="C74" t="inlineStr">
        <is>
          <t>itsc_4turn_halfload</t>
        </is>
      </c>
      <c r="D74" t="n">
        <v>0.095294</v>
      </c>
      <c r="E74" t="n">
        <v>0.09529</v>
      </c>
      <c r="F74">
        <f>(D74/E74-1)*100</f>
        <v/>
      </c>
      <c r="G74">
        <f>IF(ABS(F74)&lt;=0.5,"PASS","FAIL")</f>
        <v/>
      </c>
    </row>
    <row r="75">
      <c r="A75" t="inlineStr">
        <is>
          <t>a0</t>
        </is>
      </c>
      <c r="B75" t="inlineStr">
        <is>
          <t>waveform_0245.04_pre_itsc_4turn_halfload.csv</t>
        </is>
      </c>
      <c r="C75" t="inlineStr">
        <is>
          <t>itsc_4turn_halfload</t>
        </is>
      </c>
      <c r="D75" t="n">
        <v>0.095294</v>
      </c>
      <c r="E75" t="n">
        <v>0.09529</v>
      </c>
      <c r="F75">
        <f>(D75/E75-1)*100</f>
        <v/>
      </c>
      <c r="G75">
        <f>IF(ABS(F75)&lt;=0.5,"PASS","FAIL")</f>
        <v/>
      </c>
    </row>
    <row r="76">
      <c r="A76" t="inlineStr">
        <is>
          <t>a90</t>
        </is>
      </c>
      <c r="B76" t="inlineStr">
        <is>
          <t>waveform_0000.00_post_healthy.csv</t>
        </is>
      </c>
      <c r="C76" t="inlineStr">
        <is>
          <t>healthy</t>
        </is>
      </c>
      <c r="D76" t="n">
        <v>0.027</v>
      </c>
      <c r="E76" t="n">
        <v>0.027</v>
      </c>
      <c r="F76">
        <f>(D76/E76-1)*100</f>
        <v/>
      </c>
      <c r="G76">
        <f>IF(ABS(F76)&lt;=0.5,"PASS","FAIL")</f>
        <v/>
      </c>
    </row>
    <row r="77">
      <c r="A77" t="inlineStr">
        <is>
          <t>a90</t>
        </is>
      </c>
      <c r="B77" t="inlineStr">
        <is>
          <t>waveform_0000.01_post_healthy.csv</t>
        </is>
      </c>
      <c r="C77" t="inlineStr">
        <is>
          <t>healthy</t>
        </is>
      </c>
      <c r="D77" t="n">
        <v>0.027</v>
      </c>
      <c r="E77" t="n">
        <v>0.027</v>
      </c>
      <c r="F77">
        <f>(D77/E77-1)*100</f>
        <v/>
      </c>
      <c r="G77">
        <f>IF(ABS(F77)&lt;=0.5,"PASS","FAIL")</f>
        <v/>
      </c>
    </row>
    <row r="78">
      <c r="A78" t="inlineStr">
        <is>
          <t>a90</t>
        </is>
      </c>
      <c r="B78" t="inlineStr">
        <is>
          <t>waveform_0000.07_post_healthy.csv</t>
        </is>
      </c>
      <c r="C78" t="inlineStr">
        <is>
          <t>healthy</t>
        </is>
      </c>
      <c r="D78" t="n">
        <v>0.027</v>
      </c>
      <c r="E78" t="n">
        <v>0.027</v>
      </c>
      <c r="F78">
        <f>(D78/E78-1)*100</f>
        <v/>
      </c>
      <c r="G78">
        <f>IF(ABS(F78)&lt;=0.5,"PASS","FAIL")</f>
        <v/>
      </c>
    </row>
    <row r="79">
      <c r="A79" t="inlineStr">
        <is>
          <t>a90</t>
        </is>
      </c>
      <c r="B79" t="inlineStr">
        <is>
          <t>waveform_0000.09_post_healthy.csv</t>
        </is>
      </c>
      <c r="C79" t="inlineStr">
        <is>
          <t>healthy</t>
        </is>
      </c>
      <c r="D79" t="n">
        <v>0.027</v>
      </c>
      <c r="E79" t="n">
        <v>0.027</v>
      </c>
      <c r="F79">
        <f>(D79/E79-1)*100</f>
        <v/>
      </c>
      <c r="G79">
        <f>IF(ABS(F79)&lt;=0.5,"PASS","FAIL")</f>
        <v/>
      </c>
    </row>
    <row r="80">
      <c r="A80" t="inlineStr">
        <is>
          <t>a90</t>
        </is>
      </c>
      <c r="B80" t="inlineStr">
        <is>
          <t>waveform_0020.01_post_itsc_4turn.csv</t>
        </is>
      </c>
      <c r="C80" t="inlineStr">
        <is>
          <t>itsc_4turn</t>
        </is>
      </c>
      <c r="D80" t="n">
        <v>0.06833699999999999</v>
      </c>
      <c r="E80" t="n">
        <v>0.06834</v>
      </c>
      <c r="F80">
        <f>(D80/E80-1)*100</f>
        <v/>
      </c>
      <c r="G80">
        <f>IF(ABS(F80)&lt;=0.5,"PASS","FAIL")</f>
        <v/>
      </c>
    </row>
    <row r="81">
      <c r="A81" t="inlineStr">
        <is>
          <t>a90</t>
        </is>
      </c>
      <c r="B81" t="inlineStr">
        <is>
          <t>waveform_0020.01_pre_healthy.csv</t>
        </is>
      </c>
      <c r="C81" t="inlineStr">
        <is>
          <t>healthy</t>
        </is>
      </c>
      <c r="D81" t="n">
        <v>0.027</v>
      </c>
      <c r="E81" t="n">
        <v>0.027</v>
      </c>
      <c r="F81">
        <f>(D81/E81-1)*100</f>
        <v/>
      </c>
      <c r="G81">
        <f>IF(ABS(F81)&lt;=0.5,"PASS","FAIL")</f>
        <v/>
      </c>
    </row>
    <row r="82">
      <c r="A82" t="inlineStr">
        <is>
          <t>a90</t>
        </is>
      </c>
      <c r="B82" t="inlineStr">
        <is>
          <t>waveform_0020.04_post_itsc_4turn.csv</t>
        </is>
      </c>
      <c r="C82" t="inlineStr">
        <is>
          <t>itsc_4turn</t>
        </is>
      </c>
      <c r="D82" t="n">
        <v>0.06833699999999999</v>
      </c>
      <c r="E82" t="n">
        <v>0.06834</v>
      </c>
      <c r="F82">
        <f>(D82/E82-1)*100</f>
        <v/>
      </c>
      <c r="G82">
        <f>IF(ABS(F82)&lt;=0.5,"PASS","FAIL")</f>
        <v/>
      </c>
    </row>
    <row r="83">
      <c r="A83" t="inlineStr">
        <is>
          <t>a90</t>
        </is>
      </c>
      <c r="B83" t="inlineStr">
        <is>
          <t>waveform_0020.04_pre_healthy.csv</t>
        </is>
      </c>
      <c r="C83" t="inlineStr">
        <is>
          <t>healthy</t>
        </is>
      </c>
      <c r="D83" t="n">
        <v>0.027</v>
      </c>
      <c r="E83" t="n">
        <v>0.027</v>
      </c>
      <c r="F83">
        <f>(D83/E83-1)*100</f>
        <v/>
      </c>
      <c r="G83">
        <f>IF(ABS(F83)&lt;=0.5,"PASS","FAIL")</f>
        <v/>
      </c>
    </row>
    <row r="84">
      <c r="A84" t="inlineStr">
        <is>
          <t>a90</t>
        </is>
      </c>
      <c r="B84" t="inlineStr">
        <is>
          <t>waveform_0020.06_post_itsc_4turn.csv</t>
        </is>
      </c>
      <c r="C84" t="inlineStr">
        <is>
          <t>itsc_4turn</t>
        </is>
      </c>
      <c r="D84" t="n">
        <v>0.06833699999999999</v>
      </c>
      <c r="E84" t="n">
        <v>0.06834</v>
      </c>
      <c r="F84">
        <f>(D84/E84-1)*100</f>
        <v/>
      </c>
      <c r="G84">
        <f>IF(ABS(F84)&lt;=0.5,"PASS","FAIL")</f>
        <v/>
      </c>
    </row>
    <row r="85">
      <c r="A85" t="inlineStr">
        <is>
          <t>a90</t>
        </is>
      </c>
      <c r="B85" t="inlineStr">
        <is>
          <t>waveform_0020.06_pre_healthy.csv</t>
        </is>
      </c>
      <c r="C85" t="inlineStr">
        <is>
          <t>healthy</t>
        </is>
      </c>
      <c r="D85" t="n">
        <v>0.027</v>
      </c>
      <c r="E85" t="n">
        <v>0.027</v>
      </c>
      <c r="F85">
        <f>(D85/E85-1)*100</f>
        <v/>
      </c>
      <c r="G85">
        <f>IF(ABS(F85)&lt;=0.5,"PASS","FAIL")</f>
        <v/>
      </c>
    </row>
    <row r="86">
      <c r="A86" t="inlineStr">
        <is>
          <t>a90</t>
        </is>
      </c>
      <c r="B86" t="inlineStr">
        <is>
          <t>waveform_0045.01_post_itsc_12turn.csv</t>
        </is>
      </c>
      <c r="C86" t="inlineStr">
        <is>
          <t>itsc_12turn</t>
        </is>
      </c>
      <c r="D86" t="n">
        <v>0.259428</v>
      </c>
      <c r="E86" t="n">
        <v>0.25943</v>
      </c>
      <c r="F86">
        <f>(D86/E86-1)*100</f>
        <v/>
      </c>
      <c r="G86">
        <f>IF(ABS(F86)&lt;=0.5,"PASS","FAIL")</f>
        <v/>
      </c>
    </row>
    <row r="87">
      <c r="A87" t="inlineStr">
        <is>
          <t>a90</t>
        </is>
      </c>
      <c r="B87" t="inlineStr">
        <is>
          <t>waveform_0045.01_pre_itsc_4turn.csv</t>
        </is>
      </c>
      <c r="C87" t="inlineStr">
        <is>
          <t>itsc_4turn</t>
        </is>
      </c>
      <c r="D87" t="n">
        <v>0.06833699999999999</v>
      </c>
      <c r="E87" t="n">
        <v>0.06834</v>
      </c>
      <c r="F87">
        <f>(D87/E87-1)*100</f>
        <v/>
      </c>
      <c r="G87">
        <f>IF(ABS(F87)&lt;=0.5,"PASS","FAIL")</f>
        <v/>
      </c>
    </row>
    <row r="88">
      <c r="A88" t="inlineStr">
        <is>
          <t>a90</t>
        </is>
      </c>
      <c r="B88" t="inlineStr">
        <is>
          <t>waveform_0045.04_post_itsc_12turn.csv</t>
        </is>
      </c>
      <c r="C88" t="inlineStr">
        <is>
          <t>itsc_12turn</t>
        </is>
      </c>
      <c r="D88" t="n">
        <v>0.259428</v>
      </c>
      <c r="E88" t="n">
        <v>0.25943</v>
      </c>
      <c r="F88">
        <f>(D88/E88-1)*100</f>
        <v/>
      </c>
      <c r="G88">
        <f>IF(ABS(F88)&lt;=0.5,"PASS","FAIL")</f>
        <v/>
      </c>
    </row>
    <row r="89">
      <c r="A89" t="inlineStr">
        <is>
          <t>a90</t>
        </is>
      </c>
      <c r="B89" t="inlineStr">
        <is>
          <t>waveform_0045.04_pre_itsc_4turn.csv</t>
        </is>
      </c>
      <c r="C89" t="inlineStr">
        <is>
          <t>itsc_4turn</t>
        </is>
      </c>
      <c r="D89" t="n">
        <v>0.06833699999999999</v>
      </c>
      <c r="E89" t="n">
        <v>0.06834</v>
      </c>
      <c r="F89">
        <f>(D89/E89-1)*100</f>
        <v/>
      </c>
      <c r="G89">
        <f>IF(ABS(F89)&lt;=0.5,"PASS","FAIL")</f>
        <v/>
      </c>
    </row>
    <row r="90">
      <c r="A90" t="inlineStr">
        <is>
          <t>a90</t>
        </is>
      </c>
      <c r="B90" t="inlineStr">
        <is>
          <t>waveform_0045.05_post_itsc_12turn.csv</t>
        </is>
      </c>
      <c r="C90" t="inlineStr">
        <is>
          <t>itsc_12turn</t>
        </is>
      </c>
      <c r="D90" t="n">
        <v>0.259428</v>
      </c>
      <c r="E90" t="n">
        <v>0.25943</v>
      </c>
      <c r="F90">
        <f>(D90/E90-1)*100</f>
        <v/>
      </c>
      <c r="G90">
        <f>IF(ABS(F90)&lt;=0.5,"PASS","FAIL")</f>
        <v/>
      </c>
    </row>
    <row r="91">
      <c r="A91" t="inlineStr">
        <is>
          <t>a90</t>
        </is>
      </c>
      <c r="B91" t="inlineStr">
        <is>
          <t>waveform_0045.05_pre_itsc_4turn.csv</t>
        </is>
      </c>
      <c r="C91" t="inlineStr">
        <is>
          <t>itsc_4turn</t>
        </is>
      </c>
      <c r="D91" t="n">
        <v>0.06833699999999999</v>
      </c>
      <c r="E91" t="n">
        <v>0.06834</v>
      </c>
      <c r="F91">
        <f>(D91/E91-1)*100</f>
        <v/>
      </c>
      <c r="G91">
        <f>IF(ABS(F91)&lt;=0.5,"PASS","FAIL")</f>
        <v/>
      </c>
    </row>
    <row r="92">
      <c r="A92" t="inlineStr">
        <is>
          <t>a90</t>
        </is>
      </c>
      <c r="B92" t="inlineStr">
        <is>
          <t>waveform_0075.01_post_overload.csv</t>
        </is>
      </c>
      <c r="C92" t="inlineStr">
        <is>
          <t>overload</t>
        </is>
      </c>
      <c r="D92" t="n">
        <v>0.027</v>
      </c>
      <c r="E92" t="n">
        <v>0.027</v>
      </c>
      <c r="F92">
        <f>(D92/E92-1)*100</f>
        <v/>
      </c>
      <c r="G92">
        <f>IF(ABS(F92)&lt;=0.5,"PASS","FAIL")</f>
        <v/>
      </c>
    </row>
    <row r="93">
      <c r="A93" t="inlineStr">
        <is>
          <t>a90</t>
        </is>
      </c>
      <c r="B93" t="inlineStr">
        <is>
          <t>waveform_0075.01_pre_itsc_12turn.csv</t>
        </is>
      </c>
      <c r="C93" t="inlineStr">
        <is>
          <t>itsc_12turn</t>
        </is>
      </c>
      <c r="D93" t="n">
        <v>0.259428</v>
      </c>
      <c r="E93" t="n">
        <v>0.25943</v>
      </c>
      <c r="F93">
        <f>(D93/E93-1)*100</f>
        <v/>
      </c>
      <c r="G93">
        <f>IF(ABS(F93)&lt;=0.5,"PASS","FAIL")</f>
        <v/>
      </c>
    </row>
    <row r="94">
      <c r="A94" t="inlineStr">
        <is>
          <t>a90</t>
        </is>
      </c>
      <c r="B94" t="inlineStr">
        <is>
          <t>waveform_0075.03_post_overload.csv</t>
        </is>
      </c>
      <c r="C94" t="inlineStr">
        <is>
          <t>overload</t>
        </is>
      </c>
      <c r="D94" t="n">
        <v>0.027</v>
      </c>
      <c r="E94" t="n">
        <v>0.027</v>
      </c>
      <c r="F94">
        <f>(D94/E94-1)*100</f>
        <v/>
      </c>
      <c r="G94">
        <f>IF(ABS(F94)&lt;=0.5,"PASS","FAIL")</f>
        <v/>
      </c>
    </row>
    <row r="95">
      <c r="A95" t="inlineStr">
        <is>
          <t>a90</t>
        </is>
      </c>
      <c r="B95" t="inlineStr">
        <is>
          <t>waveform_0075.03_pre_itsc_12turn.csv</t>
        </is>
      </c>
      <c r="C95" t="inlineStr">
        <is>
          <t>itsc_12turn</t>
        </is>
      </c>
      <c r="D95" t="n">
        <v>0.259428</v>
      </c>
      <c r="E95" t="n">
        <v>0.25943</v>
      </c>
      <c r="F95">
        <f>(D95/E95-1)*100</f>
        <v/>
      </c>
      <c r="G95">
        <f>IF(ABS(F95)&lt;=0.5,"PASS","FAIL")</f>
        <v/>
      </c>
    </row>
    <row r="96">
      <c r="A96" t="inlineStr">
        <is>
          <t>a90</t>
        </is>
      </c>
      <c r="B96" t="inlineStr">
        <is>
          <t>waveform_0075.04_post_overload.csv</t>
        </is>
      </c>
      <c r="C96" t="inlineStr">
        <is>
          <t>overload</t>
        </is>
      </c>
      <c r="D96" t="n">
        <v>0.027</v>
      </c>
      <c r="E96" t="n">
        <v>0.027</v>
      </c>
      <c r="F96">
        <f>(D96/E96-1)*100</f>
        <v/>
      </c>
      <c r="G96">
        <f>IF(ABS(F96)&lt;=0.5,"PASS","FAIL")</f>
        <v/>
      </c>
    </row>
    <row r="97">
      <c r="A97" t="inlineStr">
        <is>
          <t>a90</t>
        </is>
      </c>
      <c r="B97" t="inlineStr">
        <is>
          <t>waveform_0075.04_pre_itsc_12turn.csv</t>
        </is>
      </c>
      <c r="C97" t="inlineStr">
        <is>
          <t>itsc_12turn</t>
        </is>
      </c>
      <c r="D97" t="n">
        <v>0.259428</v>
      </c>
      <c r="E97" t="n">
        <v>0.25943</v>
      </c>
      <c r="F97">
        <f>(D97/E97-1)*100</f>
        <v/>
      </c>
      <c r="G97">
        <f>IF(ABS(F97)&lt;=0.5,"PASS","FAIL")</f>
        <v/>
      </c>
    </row>
    <row r="98">
      <c r="A98" t="inlineStr">
        <is>
          <t>a90</t>
        </is>
      </c>
      <c r="B98" t="inlineStr">
        <is>
          <t>waveform_0075.05_post_overload.csv</t>
        </is>
      </c>
      <c r="C98" t="inlineStr">
        <is>
          <t>overload</t>
        </is>
      </c>
      <c r="D98" t="n">
        <v>0.027</v>
      </c>
      <c r="E98" t="n">
        <v>0.027</v>
      </c>
      <c r="F98">
        <f>(D98/E98-1)*100</f>
        <v/>
      </c>
      <c r="G98">
        <f>IF(ABS(F98)&lt;=0.5,"PASS","FAIL")</f>
        <v/>
      </c>
    </row>
    <row r="99">
      <c r="A99" t="inlineStr">
        <is>
          <t>a90</t>
        </is>
      </c>
      <c r="B99" t="inlineStr">
        <is>
          <t>waveform_0075.05_pre_itsc_12turn.csv</t>
        </is>
      </c>
      <c r="C99" t="inlineStr">
        <is>
          <t>itsc_12turn</t>
        </is>
      </c>
      <c r="D99" t="n">
        <v>0.259428</v>
      </c>
      <c r="E99" t="n">
        <v>0.25943</v>
      </c>
      <c r="F99">
        <f>(D99/E99-1)*100</f>
        <v/>
      </c>
      <c r="G99">
        <f>IF(ABS(F99)&lt;=0.5,"PASS","FAIL")</f>
        <v/>
      </c>
    </row>
    <row r="100">
      <c r="A100" t="inlineStr">
        <is>
          <t>a90</t>
        </is>
      </c>
      <c r="B100" t="inlineStr">
        <is>
          <t>waveform_0095.02_post_voltage_unbalance.csv</t>
        </is>
      </c>
      <c r="C100" t="inlineStr">
        <is>
          <t>voltage_unbalance</t>
        </is>
      </c>
      <c r="D100" t="n">
        <v>0.059508</v>
      </c>
      <c r="E100" t="n">
        <v>0.05951</v>
      </c>
      <c r="F100">
        <f>(D100/E100-1)*100</f>
        <v/>
      </c>
      <c r="G100">
        <f>IF(ABS(F100)&lt;=0.5,"PASS","FAIL")</f>
        <v/>
      </c>
    </row>
    <row r="101">
      <c r="A101" t="inlineStr">
        <is>
          <t>a90</t>
        </is>
      </c>
      <c r="B101" t="inlineStr">
        <is>
          <t>waveform_0095.02_pre_overload.csv</t>
        </is>
      </c>
      <c r="C101" t="inlineStr">
        <is>
          <t>overload</t>
        </is>
      </c>
      <c r="D101" t="n">
        <v>0.027</v>
      </c>
      <c r="E101" t="n">
        <v>0.027</v>
      </c>
      <c r="F101">
        <f>(D101/E101-1)*100</f>
        <v/>
      </c>
      <c r="G101">
        <f>IF(ABS(F101)&lt;=0.5,"PASS","FAIL")</f>
        <v/>
      </c>
    </row>
    <row r="102">
      <c r="A102" t="inlineStr">
        <is>
          <t>a90</t>
        </is>
      </c>
      <c r="B102" t="inlineStr">
        <is>
          <t>waveform_0095.04_post_voltage_unbalance.csv</t>
        </is>
      </c>
      <c r="C102" t="inlineStr">
        <is>
          <t>voltage_unbalance</t>
        </is>
      </c>
      <c r="D102" t="n">
        <v>0.059508</v>
      </c>
      <c r="E102" t="n">
        <v>0.05951</v>
      </c>
      <c r="F102">
        <f>(D102/E102-1)*100</f>
        <v/>
      </c>
      <c r="G102">
        <f>IF(ABS(F102)&lt;=0.5,"PASS","FAIL")</f>
        <v/>
      </c>
    </row>
    <row r="103">
      <c r="A103" t="inlineStr">
        <is>
          <t>a90</t>
        </is>
      </c>
      <c r="B103" t="inlineStr">
        <is>
          <t>waveform_0095.04_pre_overload.csv</t>
        </is>
      </c>
      <c r="C103" t="inlineStr">
        <is>
          <t>overload</t>
        </is>
      </c>
      <c r="D103" t="n">
        <v>0.027</v>
      </c>
      <c r="E103" t="n">
        <v>0.027</v>
      </c>
      <c r="F103">
        <f>(D103/E103-1)*100</f>
        <v/>
      </c>
      <c r="G103">
        <f>IF(ABS(F103)&lt;=0.5,"PASS","FAIL")</f>
        <v/>
      </c>
    </row>
    <row r="104">
      <c r="A104" t="inlineStr">
        <is>
          <t>a90</t>
        </is>
      </c>
      <c r="B104" t="inlineStr">
        <is>
          <t>waveform_0095.05_post_voltage_unbalance.csv</t>
        </is>
      </c>
      <c r="C104" t="inlineStr">
        <is>
          <t>voltage_unbalance</t>
        </is>
      </c>
      <c r="D104" t="n">
        <v>0.059508</v>
      </c>
      <c r="E104" t="n">
        <v>0.05951</v>
      </c>
      <c r="F104">
        <f>(D104/E104-1)*100</f>
        <v/>
      </c>
      <c r="G104">
        <f>IF(ABS(F104)&lt;=0.5,"PASS","FAIL")</f>
        <v/>
      </c>
    </row>
    <row r="105">
      <c r="A105" t="inlineStr">
        <is>
          <t>a90</t>
        </is>
      </c>
      <c r="B105" t="inlineStr">
        <is>
          <t>waveform_0095.05_pre_overload.csv</t>
        </is>
      </c>
      <c r="C105" t="inlineStr">
        <is>
          <t>overload</t>
        </is>
      </c>
      <c r="D105" t="n">
        <v>0.027</v>
      </c>
      <c r="E105" t="n">
        <v>0.027</v>
      </c>
      <c r="F105">
        <f>(D105/E105-1)*100</f>
        <v/>
      </c>
      <c r="G105">
        <f>IF(ABS(F105)&lt;=0.5,"PASS","FAIL")</f>
        <v/>
      </c>
    </row>
    <row r="106">
      <c r="A106" t="inlineStr">
        <is>
          <t>a90</t>
        </is>
      </c>
      <c r="B106" t="inlineStr">
        <is>
          <t>waveform_0120.01_post_single_phasing.csv</t>
        </is>
      </c>
      <c r="C106" t="inlineStr">
        <is>
          <t>single_phasing</t>
        </is>
      </c>
      <c r="D106" t="n">
        <v>0.479167</v>
      </c>
      <c r="E106" t="n">
        <v>0.47917</v>
      </c>
      <c r="F106">
        <f>(D106/E106-1)*100</f>
        <v/>
      </c>
      <c r="G106">
        <f>IF(ABS(F106)&lt;=0.5,"PASS","FAIL")</f>
        <v/>
      </c>
    </row>
    <row r="107">
      <c r="A107" t="inlineStr">
        <is>
          <t>a90</t>
        </is>
      </c>
      <c r="B107" t="inlineStr">
        <is>
          <t>waveform_0120.01_pre_voltage_unbalance.csv</t>
        </is>
      </c>
      <c r="C107" t="inlineStr">
        <is>
          <t>voltage_unbalance</t>
        </is>
      </c>
      <c r="D107" t="n">
        <v>0.059508</v>
      </c>
      <c r="E107" t="n">
        <v>0.05951</v>
      </c>
      <c r="F107">
        <f>(D107/E107-1)*100</f>
        <v/>
      </c>
      <c r="G107">
        <f>IF(ABS(F107)&lt;=0.5,"PASS","FAIL")</f>
        <v/>
      </c>
    </row>
    <row r="108">
      <c r="A108" t="inlineStr">
        <is>
          <t>a90</t>
        </is>
      </c>
      <c r="B108" t="inlineStr">
        <is>
          <t>waveform_0120.03_post_single_phasing.csv</t>
        </is>
      </c>
      <c r="C108" t="inlineStr">
        <is>
          <t>single_phasing</t>
        </is>
      </c>
      <c r="D108" t="n">
        <v>0.479167</v>
      </c>
      <c r="E108" t="n">
        <v>0.47917</v>
      </c>
      <c r="F108">
        <f>(D108/E108-1)*100</f>
        <v/>
      </c>
      <c r="G108">
        <f>IF(ABS(F108)&lt;=0.5,"PASS","FAIL")</f>
        <v/>
      </c>
    </row>
    <row r="109">
      <c r="A109" t="inlineStr">
        <is>
          <t>a90</t>
        </is>
      </c>
      <c r="B109" t="inlineStr">
        <is>
          <t>waveform_0120.03_pre_voltage_unbalance.csv</t>
        </is>
      </c>
      <c r="C109" t="inlineStr">
        <is>
          <t>voltage_unbalance</t>
        </is>
      </c>
      <c r="D109" t="n">
        <v>0.059508</v>
      </c>
      <c r="E109" t="n">
        <v>0.05951</v>
      </c>
      <c r="F109">
        <f>(D109/E109-1)*100</f>
        <v/>
      </c>
      <c r="G109">
        <f>IF(ABS(F109)&lt;=0.5,"PASS","FAIL")</f>
        <v/>
      </c>
    </row>
    <row r="110">
      <c r="A110" t="inlineStr">
        <is>
          <t>a90</t>
        </is>
      </c>
      <c r="B110" t="inlineStr">
        <is>
          <t>waveform_0120.05_post_single_phasing.csv</t>
        </is>
      </c>
      <c r="C110" t="inlineStr">
        <is>
          <t>single_phasing</t>
        </is>
      </c>
      <c r="D110" t="n">
        <v>0.479167</v>
      </c>
      <c r="E110" t="n">
        <v>0.47917</v>
      </c>
      <c r="F110">
        <f>(D110/E110-1)*100</f>
        <v/>
      </c>
      <c r="G110">
        <f>IF(ABS(F110)&lt;=0.5,"PASS","FAIL")</f>
        <v/>
      </c>
    </row>
    <row r="111">
      <c r="A111" t="inlineStr">
        <is>
          <t>a90</t>
        </is>
      </c>
      <c r="B111" t="inlineStr">
        <is>
          <t>waveform_0120.05_pre_voltage_unbalance.csv</t>
        </is>
      </c>
      <c r="C111" t="inlineStr">
        <is>
          <t>voltage_unbalance</t>
        </is>
      </c>
      <c r="D111" t="n">
        <v>0.059508</v>
      </c>
      <c r="E111" t="n">
        <v>0.05951</v>
      </c>
      <c r="F111">
        <f>(D111/E111-1)*100</f>
        <v/>
      </c>
      <c r="G111">
        <f>IF(ABS(F111)&lt;=0.5,"PASS","FAIL")</f>
        <v/>
      </c>
    </row>
    <row r="112">
      <c r="A112" t="inlineStr">
        <is>
          <t>a90</t>
        </is>
      </c>
      <c r="B112" t="inlineStr">
        <is>
          <t>waveform_0145.00_post_no_load.csv</t>
        </is>
      </c>
      <c r="C112" t="inlineStr">
        <is>
          <t>no_load</t>
        </is>
      </c>
      <c r="D112" t="n">
        <v>0.027</v>
      </c>
      <c r="E112" t="n">
        <v>0.027</v>
      </c>
      <c r="F112">
        <f>(D112/E112-1)*100</f>
        <v/>
      </c>
      <c r="G112">
        <f>IF(ABS(F112)&lt;=0.5,"PASS","FAIL")</f>
        <v/>
      </c>
    </row>
    <row r="113">
      <c r="A113" t="inlineStr">
        <is>
          <t>a90</t>
        </is>
      </c>
      <c r="B113" t="inlineStr">
        <is>
          <t>waveform_0145.00_pre_single_phasing.csv</t>
        </is>
      </c>
      <c r="C113" t="inlineStr">
        <is>
          <t>single_phasing</t>
        </is>
      </c>
      <c r="D113" t="n">
        <v>0.479167</v>
      </c>
      <c r="E113" t="n">
        <v>0.47917</v>
      </c>
      <c r="F113">
        <f>(D113/E113-1)*100</f>
        <v/>
      </c>
      <c r="G113">
        <f>IF(ABS(F113)&lt;=0.5,"PASS","FAIL")</f>
        <v/>
      </c>
    </row>
    <row r="114">
      <c r="A114" t="inlineStr">
        <is>
          <t>a90</t>
        </is>
      </c>
      <c r="B114" t="inlineStr">
        <is>
          <t>waveform_0145.03_post_no_load.csv</t>
        </is>
      </c>
      <c r="C114" t="inlineStr">
        <is>
          <t>no_load</t>
        </is>
      </c>
      <c r="D114" t="n">
        <v>0.027</v>
      </c>
      <c r="E114" t="n">
        <v>0.027</v>
      </c>
      <c r="F114">
        <f>(D114/E114-1)*100</f>
        <v/>
      </c>
      <c r="G114">
        <f>IF(ABS(F114)&lt;=0.5,"PASS","FAIL")</f>
        <v/>
      </c>
    </row>
    <row r="115">
      <c r="A115" t="inlineStr">
        <is>
          <t>a90</t>
        </is>
      </c>
      <c r="B115" t="inlineStr">
        <is>
          <t>waveform_0145.03_pre_single_phasing.csv</t>
        </is>
      </c>
      <c r="C115" t="inlineStr">
        <is>
          <t>single_phasing</t>
        </is>
      </c>
      <c r="D115" t="n">
        <v>0.479167</v>
      </c>
      <c r="E115" t="n">
        <v>0.47917</v>
      </c>
      <c r="F115">
        <f>(D115/E115-1)*100</f>
        <v/>
      </c>
      <c r="G115">
        <f>IF(ABS(F115)&lt;=0.5,"PASS","FAIL")</f>
        <v/>
      </c>
    </row>
    <row r="116">
      <c r="A116" t="inlineStr">
        <is>
          <t>a90</t>
        </is>
      </c>
      <c r="B116" t="inlineStr">
        <is>
          <t>waveform_0165.00_post_itsc_8turn.csv</t>
        </is>
      </c>
      <c r="C116" t="inlineStr">
        <is>
          <t>itsc_8turn</t>
        </is>
      </c>
      <c r="D116" t="n">
        <v>0.160109</v>
      </c>
      <c r="E116" t="n">
        <v>0.16011</v>
      </c>
      <c r="F116">
        <f>(D116/E116-1)*100</f>
        <v/>
      </c>
      <c r="G116">
        <f>IF(ABS(F116)&lt;=0.5,"PASS","FAIL")</f>
        <v/>
      </c>
    </row>
    <row r="117">
      <c r="A117" t="inlineStr">
        <is>
          <t>a90</t>
        </is>
      </c>
      <c r="B117" t="inlineStr">
        <is>
          <t>waveform_0165.00_pre_no_load.csv</t>
        </is>
      </c>
      <c r="C117" t="inlineStr">
        <is>
          <t>no_load</t>
        </is>
      </c>
      <c r="D117" t="n">
        <v>0.027</v>
      </c>
      <c r="E117" t="n">
        <v>0.027</v>
      </c>
      <c r="F117">
        <f>(D117/E117-1)*100</f>
        <v/>
      </c>
      <c r="G117">
        <f>IF(ABS(F117)&lt;=0.5,"PASS","FAIL")</f>
        <v/>
      </c>
    </row>
    <row r="118">
      <c r="A118" t="inlineStr">
        <is>
          <t>a90</t>
        </is>
      </c>
      <c r="B118" t="inlineStr">
        <is>
          <t>waveform_0165.03_post_itsc_8turn.csv</t>
        </is>
      </c>
      <c r="C118" t="inlineStr">
        <is>
          <t>itsc_8turn</t>
        </is>
      </c>
      <c r="D118" t="n">
        <v>0.160109</v>
      </c>
      <c r="E118" t="n">
        <v>0.16011</v>
      </c>
      <c r="F118">
        <f>(D118/E118-1)*100</f>
        <v/>
      </c>
      <c r="G118">
        <f>IF(ABS(F118)&lt;=0.5,"PASS","FAIL")</f>
        <v/>
      </c>
    </row>
    <row r="119">
      <c r="A119" t="inlineStr">
        <is>
          <t>a90</t>
        </is>
      </c>
      <c r="B119" t="inlineStr">
        <is>
          <t>waveform_0165.03_pre_no_load.csv</t>
        </is>
      </c>
      <c r="C119" t="inlineStr">
        <is>
          <t>no_load</t>
        </is>
      </c>
      <c r="D119" t="n">
        <v>0.027</v>
      </c>
      <c r="E119" t="n">
        <v>0.027</v>
      </c>
      <c r="F119">
        <f>(D119/E119-1)*100</f>
        <v/>
      </c>
      <c r="G119">
        <f>IF(ABS(F119)&lt;=0.5,"PASS","FAIL")</f>
        <v/>
      </c>
    </row>
    <row r="120">
      <c r="A120" t="inlineStr">
        <is>
          <t>a90</t>
        </is>
      </c>
      <c r="B120" t="inlineStr">
        <is>
          <t>waveform_0165.08_post_itsc_8turn.csv</t>
        </is>
      </c>
      <c r="C120" t="inlineStr">
        <is>
          <t>itsc_8turn</t>
        </is>
      </c>
      <c r="D120" t="n">
        <v>0.160109</v>
      </c>
      <c r="E120" t="n">
        <v>0.16011</v>
      </c>
      <c r="F120">
        <f>(D120/E120-1)*100</f>
        <v/>
      </c>
      <c r="G120">
        <f>IF(ABS(F120)&lt;=0.5,"PASS","FAIL")</f>
        <v/>
      </c>
    </row>
    <row r="121">
      <c r="A121" t="inlineStr">
        <is>
          <t>a90</t>
        </is>
      </c>
      <c r="B121" t="inlineStr">
        <is>
          <t>waveform_0165.08_pre_no_load.csv</t>
        </is>
      </c>
      <c r="C121" t="inlineStr">
        <is>
          <t>no_load</t>
        </is>
      </c>
      <c r="D121" t="n">
        <v>0.027</v>
      </c>
      <c r="E121" t="n">
        <v>0.027</v>
      </c>
      <c r="F121">
        <f>(D121/E121-1)*100</f>
        <v/>
      </c>
      <c r="G121">
        <f>IF(ABS(F121)&lt;=0.5,"PASS","FAIL")</f>
        <v/>
      </c>
    </row>
    <row r="122">
      <c r="A122" t="inlineStr">
        <is>
          <t>a90</t>
        </is>
      </c>
      <c r="B122" t="inlineStr">
        <is>
          <t>waveform_0185.01_post_itsc_16turn.csv</t>
        </is>
      </c>
      <c r="C122" t="inlineStr">
        <is>
          <t>itsc_16turn</t>
        </is>
      </c>
      <c r="D122" t="n">
        <v>0.350064</v>
      </c>
      <c r="E122" t="n">
        <v>0.35006</v>
      </c>
      <c r="F122">
        <f>(D122/E122-1)*100</f>
        <v/>
      </c>
      <c r="G122">
        <f>IF(ABS(F122)&lt;=0.5,"PASS","FAIL")</f>
        <v/>
      </c>
    </row>
    <row r="123">
      <c r="A123" t="inlineStr">
        <is>
          <t>a90</t>
        </is>
      </c>
      <c r="B123" t="inlineStr">
        <is>
          <t>waveform_0185.01_pre_itsc_8turn.csv</t>
        </is>
      </c>
      <c r="C123" t="inlineStr">
        <is>
          <t>itsc_8turn</t>
        </is>
      </c>
      <c r="D123" t="n">
        <v>0.160109</v>
      </c>
      <c r="E123" t="n">
        <v>0.16011</v>
      </c>
      <c r="F123">
        <f>(D123/E123-1)*100</f>
        <v/>
      </c>
      <c r="G123">
        <f>IF(ABS(F123)&lt;=0.5,"PASS","FAIL")</f>
        <v/>
      </c>
    </row>
    <row r="124">
      <c r="A124" t="inlineStr">
        <is>
          <t>a90</t>
        </is>
      </c>
      <c r="B124" t="inlineStr">
        <is>
          <t>waveform_0185.03_post_itsc_16turn.csv</t>
        </is>
      </c>
      <c r="C124" t="inlineStr">
        <is>
          <t>itsc_16turn</t>
        </is>
      </c>
      <c r="D124" t="n">
        <v>0.350064</v>
      </c>
      <c r="E124" t="n">
        <v>0.35006</v>
      </c>
      <c r="F124">
        <f>(D124/E124-1)*100</f>
        <v/>
      </c>
      <c r="G124">
        <f>IF(ABS(F124)&lt;=0.5,"PASS","FAIL")</f>
        <v/>
      </c>
    </row>
    <row r="125">
      <c r="A125" t="inlineStr">
        <is>
          <t>a90</t>
        </is>
      </c>
      <c r="B125" t="inlineStr">
        <is>
          <t>waveform_0185.03_pre_itsc_8turn.csv</t>
        </is>
      </c>
      <c r="C125" t="inlineStr">
        <is>
          <t>itsc_8turn</t>
        </is>
      </c>
      <c r="D125" t="n">
        <v>0.160109</v>
      </c>
      <c r="E125" t="n">
        <v>0.16011</v>
      </c>
      <c r="F125">
        <f>(D125/E125-1)*100</f>
        <v/>
      </c>
      <c r="G125">
        <f>IF(ABS(F125)&lt;=0.5,"PASS","FAIL")</f>
        <v/>
      </c>
    </row>
    <row r="126">
      <c r="A126" t="inlineStr">
        <is>
          <t>a90</t>
        </is>
      </c>
      <c r="B126" t="inlineStr">
        <is>
          <t>waveform_0205.03_post_itsc_4turn_resistive.csv</t>
        </is>
      </c>
      <c r="C126" t="inlineStr">
        <is>
          <t>itsc_4turn_resistive</t>
        </is>
      </c>
      <c r="D126" t="n">
        <v>0.031407</v>
      </c>
      <c r="E126" t="n">
        <v>0.03141</v>
      </c>
      <c r="F126">
        <f>(D126/E126-1)*100</f>
        <v/>
      </c>
      <c r="G126">
        <f>IF(ABS(F126)&lt;=0.5,"PASS","FAIL")</f>
        <v/>
      </c>
    </row>
    <row r="127">
      <c r="A127" t="inlineStr">
        <is>
          <t>a90</t>
        </is>
      </c>
      <c r="B127" t="inlineStr">
        <is>
          <t>waveform_0205.03_pre_itsc_16turn.csv</t>
        </is>
      </c>
      <c r="C127" t="inlineStr">
        <is>
          <t>itsc_16turn</t>
        </is>
      </c>
      <c r="D127" t="n">
        <v>0.350064</v>
      </c>
      <c r="E127" t="n">
        <v>0.35006</v>
      </c>
      <c r="F127">
        <f>(D127/E127-1)*100</f>
        <v/>
      </c>
      <c r="G127">
        <f>IF(ABS(F127)&lt;=0.5,"PASS","FAIL")</f>
        <v/>
      </c>
    </row>
    <row r="128">
      <c r="A128" t="inlineStr">
        <is>
          <t>a90</t>
        </is>
      </c>
      <c r="B128" t="inlineStr">
        <is>
          <t>waveform_0205.04_post_itsc_4turn_resistive.csv</t>
        </is>
      </c>
      <c r="C128" t="inlineStr">
        <is>
          <t>itsc_4turn_resistive</t>
        </is>
      </c>
      <c r="D128" t="n">
        <v>0.031407</v>
      </c>
      <c r="E128" t="n">
        <v>0.03141</v>
      </c>
      <c r="F128">
        <f>(D128/E128-1)*100</f>
        <v/>
      </c>
      <c r="G128">
        <f>IF(ABS(F128)&lt;=0.5,"PASS","FAIL")</f>
        <v/>
      </c>
    </row>
    <row r="129">
      <c r="A129" t="inlineStr">
        <is>
          <t>a90</t>
        </is>
      </c>
      <c r="B129" t="inlineStr">
        <is>
          <t>waveform_0205.04_pre_itsc_16turn.csv</t>
        </is>
      </c>
      <c r="C129" t="inlineStr">
        <is>
          <t>itsc_16turn</t>
        </is>
      </c>
      <c r="D129" t="n">
        <v>0.350064</v>
      </c>
      <c r="E129" t="n">
        <v>0.35006</v>
      </c>
      <c r="F129">
        <f>(D129/E129-1)*100</f>
        <v/>
      </c>
      <c r="G129">
        <f>IF(ABS(F129)&lt;=0.5,"PASS","FAIL")</f>
        <v/>
      </c>
    </row>
    <row r="130">
      <c r="A130" t="inlineStr">
        <is>
          <t>a90</t>
        </is>
      </c>
      <c r="B130" t="inlineStr">
        <is>
          <t>waveform_0205.05_post_itsc_4turn_resistive.csv</t>
        </is>
      </c>
      <c r="C130" t="inlineStr">
        <is>
          <t>itsc_4turn_resistive</t>
        </is>
      </c>
      <c r="D130" t="n">
        <v>0.031407</v>
      </c>
      <c r="E130" t="n">
        <v>0.03141</v>
      </c>
      <c r="F130">
        <f>(D130/E130-1)*100</f>
        <v/>
      </c>
      <c r="G130">
        <f>IF(ABS(F130)&lt;=0.5,"PASS","FAIL")</f>
        <v/>
      </c>
    </row>
    <row r="131">
      <c r="A131" t="inlineStr">
        <is>
          <t>a90</t>
        </is>
      </c>
      <c r="B131" t="inlineStr">
        <is>
          <t>waveform_0205.05_pre_itsc_16turn.csv</t>
        </is>
      </c>
      <c r="C131" t="inlineStr">
        <is>
          <t>itsc_16turn</t>
        </is>
      </c>
      <c r="D131" t="n">
        <v>0.350064</v>
      </c>
      <c r="E131" t="n">
        <v>0.35006</v>
      </c>
      <c r="F131">
        <f>(D131/E131-1)*100</f>
        <v/>
      </c>
      <c r="G131">
        <f>IF(ABS(F131)&lt;=0.5,"PASS","FAIL")</f>
        <v/>
      </c>
    </row>
    <row r="132">
      <c r="A132" t="inlineStr">
        <is>
          <t>a90</t>
        </is>
      </c>
      <c r="B132" t="inlineStr">
        <is>
          <t>waveform_0205.06_post_itsc_4turn_resistive.csv</t>
        </is>
      </c>
      <c r="C132" t="inlineStr">
        <is>
          <t>itsc_4turn_resistive</t>
        </is>
      </c>
      <c r="D132" t="n">
        <v>0.031407</v>
      </c>
      <c r="E132" t="n">
        <v>0.03141</v>
      </c>
      <c r="F132">
        <f>(D132/E132-1)*100</f>
        <v/>
      </c>
      <c r="G132">
        <f>IF(ABS(F132)&lt;=0.5,"PASS","FAIL")</f>
        <v/>
      </c>
    </row>
    <row r="133">
      <c r="A133" t="inlineStr">
        <is>
          <t>a90</t>
        </is>
      </c>
      <c r="B133" t="inlineStr">
        <is>
          <t>waveform_0205.06_pre_itsc_16turn.csv</t>
        </is>
      </c>
      <c r="C133" t="inlineStr">
        <is>
          <t>itsc_16turn</t>
        </is>
      </c>
      <c r="D133" t="n">
        <v>0.350064</v>
      </c>
      <c r="E133" t="n">
        <v>0.35006</v>
      </c>
      <c r="F133">
        <f>(D133/E133-1)*100</f>
        <v/>
      </c>
      <c r="G133">
        <f>IF(ABS(F133)&lt;=0.5,"PASS","FAIL")</f>
        <v/>
      </c>
    </row>
    <row r="134">
      <c r="A134" t="inlineStr">
        <is>
          <t>a90</t>
        </is>
      </c>
      <c r="B134" t="inlineStr">
        <is>
          <t>waveform_0225.03_post_itsc_4turn_halfload.csv</t>
        </is>
      </c>
      <c r="C134" t="inlineStr">
        <is>
          <t>itsc_4turn_halfload</t>
        </is>
      </c>
      <c r="D134" t="n">
        <v>0.09618</v>
      </c>
      <c r="E134" t="n">
        <v>0.09618</v>
      </c>
      <c r="F134">
        <f>(D134/E134-1)*100</f>
        <v/>
      </c>
      <c r="G134">
        <f>IF(ABS(F134)&lt;=0.5,"PASS","FAIL")</f>
        <v/>
      </c>
    </row>
    <row r="135">
      <c r="A135" t="inlineStr">
        <is>
          <t>a90</t>
        </is>
      </c>
      <c r="B135" t="inlineStr">
        <is>
          <t>waveform_0225.03_pre_itsc_4turn_resistive.csv</t>
        </is>
      </c>
      <c r="C135" t="inlineStr">
        <is>
          <t>itsc_4turn_resistive</t>
        </is>
      </c>
      <c r="D135" t="n">
        <v>0.031407</v>
      </c>
      <c r="E135" t="n">
        <v>0.03141</v>
      </c>
      <c r="F135">
        <f>(D135/E135-1)*100</f>
        <v/>
      </c>
      <c r="G135">
        <f>IF(ABS(F135)&lt;=0.5,"PASS","FAIL")</f>
        <v/>
      </c>
    </row>
    <row r="136">
      <c r="A136" t="inlineStr">
        <is>
          <t>a90</t>
        </is>
      </c>
      <c r="B136" t="inlineStr">
        <is>
          <t>waveform_0225.05_post_itsc_4turn_halfload.csv</t>
        </is>
      </c>
      <c r="C136" t="inlineStr">
        <is>
          <t>itsc_4turn_halfload</t>
        </is>
      </c>
      <c r="D136" t="n">
        <v>0.09618</v>
      </c>
      <c r="E136" t="n">
        <v>0.09618</v>
      </c>
      <c r="F136">
        <f>(D136/E136-1)*100</f>
        <v/>
      </c>
      <c r="G136">
        <f>IF(ABS(F136)&lt;=0.5,"PASS","FAIL")</f>
        <v/>
      </c>
    </row>
    <row r="137">
      <c r="A137" t="inlineStr">
        <is>
          <t>a90</t>
        </is>
      </c>
      <c r="B137" t="inlineStr">
        <is>
          <t>waveform_0225.05_pre_itsc_4turn_resistive.csv</t>
        </is>
      </c>
      <c r="C137" t="inlineStr">
        <is>
          <t>itsc_4turn_resistive</t>
        </is>
      </c>
      <c r="D137" t="n">
        <v>0.031407</v>
      </c>
      <c r="E137" t="n">
        <v>0.03141</v>
      </c>
      <c r="F137">
        <f>(D137/E137-1)*100</f>
        <v/>
      </c>
      <c r="G137">
        <f>IF(ABS(F137)&lt;=0.5,"PASS","FAIL")</f>
        <v/>
      </c>
    </row>
    <row r="138">
      <c r="A138" t="inlineStr">
        <is>
          <t>a90</t>
        </is>
      </c>
      <c r="B138" t="inlineStr">
        <is>
          <t>waveform_0245.03_post_itsc_4turn_halfload.csv</t>
        </is>
      </c>
      <c r="C138" t="inlineStr">
        <is>
          <t>itsc_4turn_halfload</t>
        </is>
      </c>
      <c r="D138" t="n">
        <v>0.09618</v>
      </c>
      <c r="E138" t="n">
        <v>0.09618</v>
      </c>
      <c r="F138">
        <f>(D138/E138-1)*100</f>
        <v/>
      </c>
      <c r="G138">
        <f>IF(ABS(F138)&lt;=0.5,"PASS","FAIL")</f>
        <v/>
      </c>
    </row>
    <row r="139">
      <c r="A139" t="inlineStr">
        <is>
          <t>a90</t>
        </is>
      </c>
      <c r="B139" t="inlineStr">
        <is>
          <t>waveform_0245.03_pre_itsc_4turn_halfload.csv</t>
        </is>
      </c>
      <c r="C139" t="inlineStr">
        <is>
          <t>itsc_4turn_halfload</t>
        </is>
      </c>
      <c r="D139" t="n">
        <v>0.09618</v>
      </c>
      <c r="E139" t="n">
        <v>0.09618</v>
      </c>
      <c r="F139">
        <f>(D139/E139-1)*100</f>
        <v/>
      </c>
      <c r="G139">
        <f>IF(ABS(F139)&lt;=0.5,"PASS","FAIL")</f>
        <v/>
      </c>
    </row>
    <row r="140">
      <c r="A140" t="inlineStr">
        <is>
          <t>a90</t>
        </is>
      </c>
      <c r="B140" t="inlineStr">
        <is>
          <t>waveform_0245.04_post_itsc_4turn_halfload.csv</t>
        </is>
      </c>
      <c r="C140" t="inlineStr">
        <is>
          <t>itsc_4turn_halfload</t>
        </is>
      </c>
      <c r="D140" t="n">
        <v>0.09618</v>
      </c>
      <c r="E140" t="n">
        <v>0.09618</v>
      </c>
      <c r="F140">
        <f>(D140/E140-1)*100</f>
        <v/>
      </c>
      <c r="G140">
        <f>IF(ABS(F140)&lt;=0.5,"PASS","FAIL")</f>
        <v/>
      </c>
    </row>
    <row r="141">
      <c r="A141" t="inlineStr">
        <is>
          <t>a90</t>
        </is>
      </c>
      <c r="B141" t="inlineStr">
        <is>
          <t>waveform_0245.04_pre_itsc_4turn_halfload.csv</t>
        </is>
      </c>
      <c r="C141" t="inlineStr">
        <is>
          <t>itsc_4turn_halfload</t>
        </is>
      </c>
      <c r="D141" t="n">
        <v>0.09618</v>
      </c>
      <c r="E141" t="n">
        <v>0.09618</v>
      </c>
      <c r="F141">
        <f>(D141/E141-1)*100</f>
        <v/>
      </c>
      <c r="G141">
        <f>IF(ABS(F141)&lt;=0.5,"PASS","FAIL")</f>
        <v/>
      </c>
    </row>
    <row r="142">
      <c r="A142" t="inlineStr">
        <is>
          <t>a90</t>
        </is>
      </c>
      <c r="B142" t="inlineStr">
        <is>
          <t>waveform_0245.05_post_itsc_4turn_halfload.csv</t>
        </is>
      </c>
      <c r="C142" t="inlineStr">
        <is>
          <t>itsc_4turn_halfload</t>
        </is>
      </c>
      <c r="D142" t="n">
        <v>0.09618</v>
      </c>
      <c r="E142" t="n">
        <v>0.09618</v>
      </c>
      <c r="F142">
        <f>(D142/E142-1)*100</f>
        <v/>
      </c>
      <c r="G142">
        <f>IF(ABS(F142)&lt;=0.5,"PASS","FAIL")</f>
        <v/>
      </c>
    </row>
    <row r="143">
      <c r="A143" t="inlineStr">
        <is>
          <t>a90</t>
        </is>
      </c>
      <c r="B143" t="inlineStr">
        <is>
          <t>waveform_0245.05_pre_itsc_4turn_halfload.csv</t>
        </is>
      </c>
      <c r="C143" t="inlineStr">
        <is>
          <t>itsc_4turn_halfload</t>
        </is>
      </c>
      <c r="D143" t="n">
        <v>0.09618</v>
      </c>
      <c r="E143" t="n">
        <v>0.09618</v>
      </c>
      <c r="F143">
        <f>(D143/E143-1)*100</f>
        <v/>
      </c>
      <c r="G143">
        <f>IF(ABS(F143)&lt;=0.5,"PASS","FAIL")</f>
        <v/>
      </c>
    </row>
    <row r="144">
      <c r="A144" t="inlineStr">
        <is>
          <t>a90</t>
        </is>
      </c>
      <c r="B144" t="inlineStr">
        <is>
          <t>waveform_0245.07_post_itsc_4turn_halfload.csv</t>
        </is>
      </c>
      <c r="C144" t="inlineStr">
        <is>
          <t>itsc_4turn_halfload</t>
        </is>
      </c>
      <c r="D144" t="n">
        <v>0.09618</v>
      </c>
      <c r="E144" t="n">
        <v>0.09618</v>
      </c>
      <c r="F144">
        <f>(D144/E144-1)*100</f>
        <v/>
      </c>
      <c r="G144">
        <f>IF(ABS(F144)&lt;=0.5,"PASS","FAIL")</f>
        <v/>
      </c>
    </row>
    <row r="145">
      <c r="A145" t="inlineStr">
        <is>
          <t>a90</t>
        </is>
      </c>
      <c r="B145" t="inlineStr">
        <is>
          <t>waveform_0245.07_pre_itsc_4turn_halfload.csv</t>
        </is>
      </c>
      <c r="C145" t="inlineStr">
        <is>
          <t>itsc_4turn_halfload</t>
        </is>
      </c>
      <c r="D145" t="n">
        <v>0.09618</v>
      </c>
      <c r="E145" t="n">
        <v>0.09618</v>
      </c>
      <c r="F145">
        <f>(D145/E145-1)*100</f>
        <v/>
      </c>
      <c r="G145">
        <f>IF(ABS(F145)&lt;=0.5,"PASS","FAIL")</f>
        <v/>
      </c>
    </row>
    <row r="146">
      <c r="A146" t="inlineStr">
        <is>
          <t>a180</t>
        </is>
      </c>
      <c r="B146" t="inlineStr">
        <is>
          <t>waveform_0000.00_post_healthy.csv</t>
        </is>
      </c>
      <c r="C146" t="inlineStr">
        <is>
          <t>healthy</t>
        </is>
      </c>
      <c r="D146" t="n">
        <v>0.027</v>
      </c>
      <c r="E146" t="n">
        <v>0.027</v>
      </c>
      <c r="F146">
        <f>(D146/E146-1)*100</f>
        <v/>
      </c>
      <c r="G146">
        <f>IF(ABS(F146)&lt;=0.5,"PASS","FAIL")</f>
        <v/>
      </c>
    </row>
    <row r="147">
      <c r="A147" t="inlineStr">
        <is>
          <t>a180</t>
        </is>
      </c>
      <c r="B147" t="inlineStr">
        <is>
          <t>waveform_0000.07_post_healthy.csv</t>
        </is>
      </c>
      <c r="C147" t="inlineStr">
        <is>
          <t>healthy</t>
        </is>
      </c>
      <c r="D147" t="n">
        <v>0.027</v>
      </c>
      <c r="E147" t="n">
        <v>0.027</v>
      </c>
      <c r="F147">
        <f>(D147/E147-1)*100</f>
        <v/>
      </c>
      <c r="G147">
        <f>IF(ABS(F147)&lt;=0.5,"PASS","FAIL")</f>
        <v/>
      </c>
    </row>
    <row r="148">
      <c r="A148" t="inlineStr">
        <is>
          <t>a180</t>
        </is>
      </c>
      <c r="B148" t="inlineStr">
        <is>
          <t>waveform_0000.08_post_healthy.csv</t>
        </is>
      </c>
      <c r="C148" t="inlineStr">
        <is>
          <t>healthy</t>
        </is>
      </c>
      <c r="D148" t="n">
        <v>0.027</v>
      </c>
      <c r="E148" t="n">
        <v>0.027</v>
      </c>
      <c r="F148">
        <f>(D148/E148-1)*100</f>
        <v/>
      </c>
      <c r="G148">
        <f>IF(ABS(F148)&lt;=0.5,"PASS","FAIL")</f>
        <v/>
      </c>
    </row>
    <row r="149">
      <c r="A149" t="inlineStr">
        <is>
          <t>a180</t>
        </is>
      </c>
      <c r="B149" t="inlineStr">
        <is>
          <t>waveform_0020.00_post_itsc_4turn.csv</t>
        </is>
      </c>
      <c r="C149" t="inlineStr">
        <is>
          <t>itsc_4turn</t>
        </is>
      </c>
      <c r="D149" t="n">
        <v>0.031298</v>
      </c>
      <c r="E149" t="n">
        <v>0.0313</v>
      </c>
      <c r="F149">
        <f>(D149/E149-1)*100</f>
        <v/>
      </c>
      <c r="G149">
        <f>IF(ABS(F149)&lt;=0.5,"PASS","FAIL")</f>
        <v/>
      </c>
    </row>
    <row r="150">
      <c r="A150" t="inlineStr">
        <is>
          <t>a180</t>
        </is>
      </c>
      <c r="B150" t="inlineStr">
        <is>
          <t>waveform_0020.00_pre_healthy.csv</t>
        </is>
      </c>
      <c r="C150" t="inlineStr">
        <is>
          <t>healthy</t>
        </is>
      </c>
      <c r="D150" t="n">
        <v>0.027</v>
      </c>
      <c r="E150" t="n">
        <v>0.027</v>
      </c>
      <c r="F150">
        <f>(D150/E150-1)*100</f>
        <v/>
      </c>
      <c r="G150">
        <f>IF(ABS(F150)&lt;=0.5,"PASS","FAIL")</f>
        <v/>
      </c>
    </row>
    <row r="151">
      <c r="A151" t="inlineStr">
        <is>
          <t>a180</t>
        </is>
      </c>
      <c r="B151" t="inlineStr">
        <is>
          <t>waveform_0020.02_post_itsc_4turn.csv</t>
        </is>
      </c>
      <c r="C151" t="inlineStr">
        <is>
          <t>itsc_4turn</t>
        </is>
      </c>
      <c r="D151" t="n">
        <v>0.031298</v>
      </c>
      <c r="E151" t="n">
        <v>0.0313</v>
      </c>
      <c r="F151">
        <f>(D151/E151-1)*100</f>
        <v/>
      </c>
      <c r="G151">
        <f>IF(ABS(F151)&lt;=0.5,"PASS","FAIL")</f>
        <v/>
      </c>
    </row>
    <row r="152">
      <c r="A152" t="inlineStr">
        <is>
          <t>a180</t>
        </is>
      </c>
      <c r="B152" t="inlineStr">
        <is>
          <t>waveform_0020.02_pre_healthy.csv</t>
        </is>
      </c>
      <c r="C152" t="inlineStr">
        <is>
          <t>healthy</t>
        </is>
      </c>
      <c r="D152" t="n">
        <v>0.027</v>
      </c>
      <c r="E152" t="n">
        <v>0.027</v>
      </c>
      <c r="F152">
        <f>(D152/E152-1)*100</f>
        <v/>
      </c>
      <c r="G152">
        <f>IF(ABS(F152)&lt;=0.5,"PASS","FAIL")</f>
        <v/>
      </c>
    </row>
    <row r="153">
      <c r="A153" t="inlineStr">
        <is>
          <t>a180</t>
        </is>
      </c>
      <c r="B153" t="inlineStr">
        <is>
          <t>waveform_0020.03_post_itsc_4turn.csv</t>
        </is>
      </c>
      <c r="C153" t="inlineStr">
        <is>
          <t>itsc_4turn</t>
        </is>
      </c>
      <c r="D153" t="n">
        <v>0.031298</v>
      </c>
      <c r="E153" t="n">
        <v>0.0313</v>
      </c>
      <c r="F153">
        <f>(D153/E153-1)*100</f>
        <v/>
      </c>
      <c r="G153">
        <f>IF(ABS(F153)&lt;=0.5,"PASS","FAIL")</f>
        <v/>
      </c>
    </row>
    <row r="154">
      <c r="A154" t="inlineStr">
        <is>
          <t>a180</t>
        </is>
      </c>
      <c r="B154" t="inlineStr">
        <is>
          <t>waveform_0020.03_pre_healthy.csv</t>
        </is>
      </c>
      <c r="C154" t="inlineStr">
        <is>
          <t>healthy</t>
        </is>
      </c>
      <c r="D154" t="n">
        <v>0.027</v>
      </c>
      <c r="E154" t="n">
        <v>0.027</v>
      </c>
      <c r="F154">
        <f>(D154/E154-1)*100</f>
        <v/>
      </c>
      <c r="G154">
        <f>IF(ABS(F154)&lt;=0.5,"PASS","FAIL")</f>
        <v/>
      </c>
    </row>
    <row r="155">
      <c r="A155" t="inlineStr">
        <is>
          <t>a180</t>
        </is>
      </c>
      <c r="B155" t="inlineStr">
        <is>
          <t>waveform_0045.01_post_itsc_12turn.csv</t>
        </is>
      </c>
      <c r="C155" t="inlineStr">
        <is>
          <t>itsc_12turn</t>
        </is>
      </c>
      <c r="D155" t="n">
        <v>0.222124</v>
      </c>
      <c r="E155" t="n">
        <v>0.22212</v>
      </c>
      <c r="F155">
        <f>(D155/E155-1)*100</f>
        <v/>
      </c>
      <c r="G155">
        <f>IF(ABS(F155)&lt;=0.5,"PASS","FAIL")</f>
        <v/>
      </c>
    </row>
    <row r="156">
      <c r="A156" t="inlineStr">
        <is>
          <t>a180</t>
        </is>
      </c>
      <c r="B156" t="inlineStr">
        <is>
          <t>waveform_0045.01_pre_itsc_4turn.csv</t>
        </is>
      </c>
      <c r="C156" t="inlineStr">
        <is>
          <t>itsc_4turn</t>
        </is>
      </c>
      <c r="D156" t="n">
        <v>0.031298</v>
      </c>
      <c r="E156" t="n">
        <v>0.0313</v>
      </c>
      <c r="F156">
        <f>(D156/E156-1)*100</f>
        <v/>
      </c>
      <c r="G156">
        <f>IF(ABS(F156)&lt;=0.5,"PASS","FAIL")</f>
        <v/>
      </c>
    </row>
    <row r="157">
      <c r="A157" t="inlineStr">
        <is>
          <t>a180</t>
        </is>
      </c>
      <c r="B157" t="inlineStr">
        <is>
          <t>waveform_0045.02_post_itsc_12turn.csv</t>
        </is>
      </c>
      <c r="C157" t="inlineStr">
        <is>
          <t>itsc_12turn</t>
        </is>
      </c>
      <c r="D157" t="n">
        <v>0.222124</v>
      </c>
      <c r="E157" t="n">
        <v>0.22212</v>
      </c>
      <c r="F157">
        <f>(D157/E157-1)*100</f>
        <v/>
      </c>
      <c r="G157">
        <f>IF(ABS(F157)&lt;=0.5,"PASS","FAIL")</f>
        <v/>
      </c>
    </row>
    <row r="158">
      <c r="A158" t="inlineStr">
        <is>
          <t>a180</t>
        </is>
      </c>
      <c r="B158" t="inlineStr">
        <is>
          <t>waveform_0045.02_pre_itsc_4turn.csv</t>
        </is>
      </c>
      <c r="C158" t="inlineStr">
        <is>
          <t>itsc_4turn</t>
        </is>
      </c>
      <c r="D158" t="n">
        <v>0.031298</v>
      </c>
      <c r="E158" t="n">
        <v>0.0313</v>
      </c>
      <c r="F158">
        <f>(D158/E158-1)*100</f>
        <v/>
      </c>
      <c r="G158">
        <f>IF(ABS(F158)&lt;=0.5,"PASS","FAIL")</f>
        <v/>
      </c>
    </row>
    <row r="159">
      <c r="A159" t="inlineStr">
        <is>
          <t>a180</t>
        </is>
      </c>
      <c r="B159" t="inlineStr">
        <is>
          <t>waveform_0045.05_post_itsc_12turn.csv</t>
        </is>
      </c>
      <c r="C159" t="inlineStr">
        <is>
          <t>itsc_12turn</t>
        </is>
      </c>
      <c r="D159" t="n">
        <v>0.222124</v>
      </c>
      <c r="E159" t="n">
        <v>0.22212</v>
      </c>
      <c r="F159">
        <f>(D159/E159-1)*100</f>
        <v/>
      </c>
      <c r="G159">
        <f>IF(ABS(F159)&lt;=0.5,"PASS","FAIL")</f>
        <v/>
      </c>
    </row>
    <row r="160">
      <c r="A160" t="inlineStr">
        <is>
          <t>a180</t>
        </is>
      </c>
      <c r="B160" t="inlineStr">
        <is>
          <t>waveform_0045.05_pre_itsc_4turn.csv</t>
        </is>
      </c>
      <c r="C160" t="inlineStr">
        <is>
          <t>itsc_4turn</t>
        </is>
      </c>
      <c r="D160" t="n">
        <v>0.031298</v>
      </c>
      <c r="E160" t="n">
        <v>0.0313</v>
      </c>
      <c r="F160">
        <f>(D160/E160-1)*100</f>
        <v/>
      </c>
      <c r="G160">
        <f>IF(ABS(F160)&lt;=0.5,"PASS","FAIL")</f>
        <v/>
      </c>
    </row>
    <row r="161">
      <c r="A161" t="inlineStr">
        <is>
          <t>a180</t>
        </is>
      </c>
      <c r="B161" t="inlineStr">
        <is>
          <t>waveform_0075.02_post_overload.csv</t>
        </is>
      </c>
      <c r="C161" t="inlineStr">
        <is>
          <t>overload</t>
        </is>
      </c>
      <c r="D161" t="n">
        <v>0.027</v>
      </c>
      <c r="E161" t="n">
        <v>0.027</v>
      </c>
      <c r="F161">
        <f>(D161/E161-1)*100</f>
        <v/>
      </c>
      <c r="G161">
        <f>IF(ABS(F161)&lt;=0.5,"PASS","FAIL")</f>
        <v/>
      </c>
    </row>
    <row r="162">
      <c r="A162" t="inlineStr">
        <is>
          <t>a180</t>
        </is>
      </c>
      <c r="B162" t="inlineStr">
        <is>
          <t>waveform_0075.02_pre_itsc_12turn.csv</t>
        </is>
      </c>
      <c r="C162" t="inlineStr">
        <is>
          <t>itsc_12turn</t>
        </is>
      </c>
      <c r="D162" t="n">
        <v>0.222124</v>
      </c>
      <c r="E162" t="n">
        <v>0.22212</v>
      </c>
      <c r="F162">
        <f>(D162/E162-1)*100</f>
        <v/>
      </c>
      <c r="G162">
        <f>IF(ABS(F162)&lt;=0.5,"PASS","FAIL")</f>
        <v/>
      </c>
    </row>
    <row r="163">
      <c r="A163" t="inlineStr">
        <is>
          <t>a180</t>
        </is>
      </c>
      <c r="B163" t="inlineStr">
        <is>
          <t>waveform_0075.05_post_overload.csv</t>
        </is>
      </c>
      <c r="C163" t="inlineStr">
        <is>
          <t>overload</t>
        </is>
      </c>
      <c r="D163" t="n">
        <v>0.027</v>
      </c>
      <c r="E163" t="n">
        <v>0.027</v>
      </c>
      <c r="F163">
        <f>(D163/E163-1)*100</f>
        <v/>
      </c>
      <c r="G163">
        <f>IF(ABS(F163)&lt;=0.5,"PASS","FAIL")</f>
        <v/>
      </c>
    </row>
    <row r="164">
      <c r="A164" t="inlineStr">
        <is>
          <t>a180</t>
        </is>
      </c>
      <c r="B164" t="inlineStr">
        <is>
          <t>waveform_0075.05_pre_itsc_12turn.csv</t>
        </is>
      </c>
      <c r="C164" t="inlineStr">
        <is>
          <t>itsc_12turn</t>
        </is>
      </c>
      <c r="D164" t="n">
        <v>0.222124</v>
      </c>
      <c r="E164" t="n">
        <v>0.22212</v>
      </c>
      <c r="F164">
        <f>(D164/E164-1)*100</f>
        <v/>
      </c>
      <c r="G164">
        <f>IF(ABS(F164)&lt;=0.5,"PASS","FAIL")</f>
        <v/>
      </c>
    </row>
    <row r="165">
      <c r="A165" t="inlineStr">
        <is>
          <t>a180</t>
        </is>
      </c>
      <c r="B165" t="inlineStr">
        <is>
          <t>waveform_0095.02_post_voltage_unbalance.csv</t>
        </is>
      </c>
      <c r="C165" t="inlineStr">
        <is>
          <t>voltage_unbalance</t>
        </is>
      </c>
      <c r="D165" t="n">
        <v>0.059508</v>
      </c>
      <c r="E165" t="n">
        <v>0.05951</v>
      </c>
      <c r="F165">
        <f>(D165/E165-1)*100</f>
        <v/>
      </c>
      <c r="G165">
        <f>IF(ABS(F165)&lt;=0.5,"PASS","FAIL")</f>
        <v/>
      </c>
    </row>
    <row r="166">
      <c r="A166" t="inlineStr">
        <is>
          <t>a180</t>
        </is>
      </c>
      <c r="B166" t="inlineStr">
        <is>
          <t>waveform_0095.02_pre_overload.csv</t>
        </is>
      </c>
      <c r="C166" t="inlineStr">
        <is>
          <t>overload</t>
        </is>
      </c>
      <c r="D166" t="n">
        <v>0.027</v>
      </c>
      <c r="E166" t="n">
        <v>0.027</v>
      </c>
      <c r="F166">
        <f>(D166/E166-1)*100</f>
        <v/>
      </c>
      <c r="G166">
        <f>IF(ABS(F166)&lt;=0.5,"PASS","FAIL")</f>
        <v/>
      </c>
    </row>
    <row r="167">
      <c r="A167" t="inlineStr">
        <is>
          <t>a180</t>
        </is>
      </c>
      <c r="B167" t="inlineStr">
        <is>
          <t>waveform_0095.03_post_voltage_unbalance.csv</t>
        </is>
      </c>
      <c r="C167" t="inlineStr">
        <is>
          <t>voltage_unbalance</t>
        </is>
      </c>
      <c r="D167" t="n">
        <v>0.059508</v>
      </c>
      <c r="E167" t="n">
        <v>0.05951</v>
      </c>
      <c r="F167">
        <f>(D167/E167-1)*100</f>
        <v/>
      </c>
      <c r="G167">
        <f>IF(ABS(F167)&lt;=0.5,"PASS","FAIL")</f>
        <v/>
      </c>
    </row>
    <row r="168">
      <c r="A168" t="inlineStr">
        <is>
          <t>a180</t>
        </is>
      </c>
      <c r="B168" t="inlineStr">
        <is>
          <t>waveform_0095.03_pre_overload.csv</t>
        </is>
      </c>
      <c r="C168" t="inlineStr">
        <is>
          <t>overload</t>
        </is>
      </c>
      <c r="D168" t="n">
        <v>0.027</v>
      </c>
      <c r="E168" t="n">
        <v>0.027</v>
      </c>
      <c r="F168">
        <f>(D168/E168-1)*100</f>
        <v/>
      </c>
      <c r="G168">
        <f>IF(ABS(F168)&lt;=0.5,"PASS","FAIL")</f>
        <v/>
      </c>
    </row>
    <row r="169">
      <c r="A169" t="inlineStr">
        <is>
          <t>a180</t>
        </is>
      </c>
      <c r="B169" t="inlineStr">
        <is>
          <t>waveform_0120.00_post_single_phasing.csv</t>
        </is>
      </c>
      <c r="C169" t="inlineStr">
        <is>
          <t>single_phasing</t>
        </is>
      </c>
      <c r="D169" t="n">
        <v>0.479167</v>
      </c>
      <c r="E169" t="n">
        <v>0.47917</v>
      </c>
      <c r="F169">
        <f>(D169/E169-1)*100</f>
        <v/>
      </c>
      <c r="G169">
        <f>IF(ABS(F169)&lt;=0.5,"PASS","FAIL")</f>
        <v/>
      </c>
    </row>
    <row r="170">
      <c r="A170" t="inlineStr">
        <is>
          <t>a180</t>
        </is>
      </c>
      <c r="B170" t="inlineStr">
        <is>
          <t>waveform_0120.00_pre_voltage_unbalance.csv</t>
        </is>
      </c>
      <c r="C170" t="inlineStr">
        <is>
          <t>voltage_unbalance</t>
        </is>
      </c>
      <c r="D170" t="n">
        <v>0.059508</v>
      </c>
      <c r="E170" t="n">
        <v>0.05951</v>
      </c>
      <c r="F170">
        <f>(D170/E170-1)*100</f>
        <v/>
      </c>
      <c r="G170">
        <f>IF(ABS(F170)&lt;=0.5,"PASS","FAIL")</f>
        <v/>
      </c>
    </row>
    <row r="171">
      <c r="A171" t="inlineStr">
        <is>
          <t>a180</t>
        </is>
      </c>
      <c r="B171" t="inlineStr">
        <is>
          <t>waveform_0120.03_post_single_phasing.csv</t>
        </is>
      </c>
      <c r="C171" t="inlineStr">
        <is>
          <t>single_phasing</t>
        </is>
      </c>
      <c r="D171" t="n">
        <v>0.479167</v>
      </c>
      <c r="E171" t="n">
        <v>0.47917</v>
      </c>
      <c r="F171">
        <f>(D171/E171-1)*100</f>
        <v/>
      </c>
      <c r="G171">
        <f>IF(ABS(F171)&lt;=0.5,"PASS","FAIL")</f>
        <v/>
      </c>
    </row>
    <row r="172">
      <c r="A172" t="inlineStr">
        <is>
          <t>a180</t>
        </is>
      </c>
      <c r="B172" t="inlineStr">
        <is>
          <t>waveform_0120.03_pre_voltage_unbalance.csv</t>
        </is>
      </c>
      <c r="C172" t="inlineStr">
        <is>
          <t>voltage_unbalance</t>
        </is>
      </c>
      <c r="D172" t="n">
        <v>0.059508</v>
      </c>
      <c r="E172" t="n">
        <v>0.05951</v>
      </c>
      <c r="F172">
        <f>(D172/E172-1)*100</f>
        <v/>
      </c>
      <c r="G172">
        <f>IF(ABS(F172)&lt;=0.5,"PASS","FAIL")</f>
        <v/>
      </c>
    </row>
    <row r="173">
      <c r="A173" t="inlineStr">
        <is>
          <t>a180</t>
        </is>
      </c>
      <c r="B173" t="inlineStr">
        <is>
          <t>waveform_0120.04_post_single_phasing.csv</t>
        </is>
      </c>
      <c r="C173" t="inlineStr">
        <is>
          <t>single_phasing</t>
        </is>
      </c>
      <c r="D173" t="n">
        <v>0.479167</v>
      </c>
      <c r="E173" t="n">
        <v>0.47917</v>
      </c>
      <c r="F173">
        <f>(D173/E173-1)*100</f>
        <v/>
      </c>
      <c r="G173">
        <f>IF(ABS(F173)&lt;=0.5,"PASS","FAIL")</f>
        <v/>
      </c>
    </row>
    <row r="174">
      <c r="A174" t="inlineStr">
        <is>
          <t>a180</t>
        </is>
      </c>
      <c r="B174" t="inlineStr">
        <is>
          <t>waveform_0120.04_pre_voltage_unbalance.csv</t>
        </is>
      </c>
      <c r="C174" t="inlineStr">
        <is>
          <t>voltage_unbalance</t>
        </is>
      </c>
      <c r="D174" t="n">
        <v>0.059508</v>
      </c>
      <c r="E174" t="n">
        <v>0.05951</v>
      </c>
      <c r="F174">
        <f>(D174/E174-1)*100</f>
        <v/>
      </c>
      <c r="G174">
        <f>IF(ABS(F174)&lt;=0.5,"PASS","FAIL")</f>
        <v/>
      </c>
    </row>
    <row r="175">
      <c r="A175" t="inlineStr">
        <is>
          <t>a180</t>
        </is>
      </c>
      <c r="B175" t="inlineStr">
        <is>
          <t>waveform_0120.05_post_single_phasing.csv</t>
        </is>
      </c>
      <c r="C175" t="inlineStr">
        <is>
          <t>single_phasing</t>
        </is>
      </c>
      <c r="D175" t="n">
        <v>0.479167</v>
      </c>
      <c r="E175" t="n">
        <v>0.47917</v>
      </c>
      <c r="F175">
        <f>(D175/E175-1)*100</f>
        <v/>
      </c>
      <c r="G175">
        <f>IF(ABS(F175)&lt;=0.5,"PASS","FAIL")</f>
        <v/>
      </c>
    </row>
    <row r="176">
      <c r="A176" t="inlineStr">
        <is>
          <t>a180</t>
        </is>
      </c>
      <c r="B176" t="inlineStr">
        <is>
          <t>waveform_0120.05_pre_voltage_unbalance.csv</t>
        </is>
      </c>
      <c r="C176" t="inlineStr">
        <is>
          <t>voltage_unbalance</t>
        </is>
      </c>
      <c r="D176" t="n">
        <v>0.059508</v>
      </c>
      <c r="E176" t="n">
        <v>0.05951</v>
      </c>
      <c r="F176">
        <f>(D176/E176-1)*100</f>
        <v/>
      </c>
      <c r="G176">
        <f>IF(ABS(F176)&lt;=0.5,"PASS","FAIL")</f>
        <v/>
      </c>
    </row>
    <row r="177">
      <c r="A177" t="inlineStr">
        <is>
          <t>a180</t>
        </is>
      </c>
      <c r="B177" t="inlineStr">
        <is>
          <t>waveform_0145.02_post_no_load.csv</t>
        </is>
      </c>
      <c r="C177" t="inlineStr">
        <is>
          <t>no_load</t>
        </is>
      </c>
      <c r="D177" t="n">
        <v>0.027</v>
      </c>
      <c r="E177" t="n">
        <v>0.027</v>
      </c>
      <c r="F177">
        <f>(D177/E177-1)*100</f>
        <v/>
      </c>
      <c r="G177">
        <f>IF(ABS(F177)&lt;=0.5,"PASS","FAIL")</f>
        <v/>
      </c>
    </row>
    <row r="178">
      <c r="A178" t="inlineStr">
        <is>
          <t>a180</t>
        </is>
      </c>
      <c r="B178" t="inlineStr">
        <is>
          <t>waveform_0145.02_pre_single_phasing.csv</t>
        </is>
      </c>
      <c r="C178" t="inlineStr">
        <is>
          <t>single_phasing</t>
        </is>
      </c>
      <c r="D178" t="n">
        <v>0.479167</v>
      </c>
      <c r="E178" t="n">
        <v>0.47917</v>
      </c>
      <c r="F178">
        <f>(D178/E178-1)*100</f>
        <v/>
      </c>
      <c r="G178">
        <f>IF(ABS(F178)&lt;=0.5,"PASS","FAIL")</f>
        <v/>
      </c>
    </row>
    <row r="179">
      <c r="A179" t="inlineStr">
        <is>
          <t>a180</t>
        </is>
      </c>
      <c r="B179" t="inlineStr">
        <is>
          <t>waveform_0145.04_post_no_load.csv</t>
        </is>
      </c>
      <c r="C179" t="inlineStr">
        <is>
          <t>no_load</t>
        </is>
      </c>
      <c r="D179" t="n">
        <v>0.027</v>
      </c>
      <c r="E179" t="n">
        <v>0.027</v>
      </c>
      <c r="F179">
        <f>(D179/E179-1)*100</f>
        <v/>
      </c>
      <c r="G179">
        <f>IF(ABS(F179)&lt;=0.5,"PASS","FAIL")</f>
        <v/>
      </c>
    </row>
    <row r="180">
      <c r="A180" t="inlineStr">
        <is>
          <t>a180</t>
        </is>
      </c>
      <c r="B180" t="inlineStr">
        <is>
          <t>waveform_0145.04_pre_single_phasing.csv</t>
        </is>
      </c>
      <c r="C180" t="inlineStr">
        <is>
          <t>single_phasing</t>
        </is>
      </c>
      <c r="D180" t="n">
        <v>0.479167</v>
      </c>
      <c r="E180" t="n">
        <v>0.47917</v>
      </c>
      <c r="F180">
        <f>(D180/E180-1)*100</f>
        <v/>
      </c>
      <c r="G180">
        <f>IF(ABS(F180)&lt;=0.5,"PASS","FAIL")</f>
        <v/>
      </c>
    </row>
    <row r="181">
      <c r="A181" t="inlineStr">
        <is>
          <t>a180</t>
        </is>
      </c>
      <c r="B181" t="inlineStr">
        <is>
          <t>waveform_0145.05_post_no_load.csv</t>
        </is>
      </c>
      <c r="C181" t="inlineStr">
        <is>
          <t>no_load</t>
        </is>
      </c>
      <c r="D181" t="n">
        <v>0.027</v>
      </c>
      <c r="E181" t="n">
        <v>0.027</v>
      </c>
      <c r="F181">
        <f>(D181/E181-1)*100</f>
        <v/>
      </c>
      <c r="G181">
        <f>IF(ABS(F181)&lt;=0.5,"PASS","FAIL")</f>
        <v/>
      </c>
    </row>
    <row r="182">
      <c r="A182" t="inlineStr">
        <is>
          <t>a180</t>
        </is>
      </c>
      <c r="B182" t="inlineStr">
        <is>
          <t>waveform_0145.05_pre_single_phasing.csv</t>
        </is>
      </c>
      <c r="C182" t="inlineStr">
        <is>
          <t>single_phasing</t>
        </is>
      </c>
      <c r="D182" t="n">
        <v>0.479167</v>
      </c>
      <c r="E182" t="n">
        <v>0.47917</v>
      </c>
      <c r="F182">
        <f>(D182/E182-1)*100</f>
        <v/>
      </c>
      <c r="G182">
        <f>IF(ABS(F182)&lt;=0.5,"PASS","FAIL")</f>
        <v/>
      </c>
    </row>
    <row r="183">
      <c r="A183" t="inlineStr">
        <is>
          <t>a180</t>
        </is>
      </c>
      <c r="B183" t="inlineStr">
        <is>
          <t>waveform_0145.06_post_no_load.csv</t>
        </is>
      </c>
      <c r="C183" t="inlineStr">
        <is>
          <t>no_load</t>
        </is>
      </c>
      <c r="D183" t="n">
        <v>0.027</v>
      </c>
      <c r="E183" t="n">
        <v>0.027</v>
      </c>
      <c r="F183">
        <f>(D183/E183-1)*100</f>
        <v/>
      </c>
      <c r="G183">
        <f>IF(ABS(F183)&lt;=0.5,"PASS","FAIL")</f>
        <v/>
      </c>
    </row>
    <row r="184">
      <c r="A184" t="inlineStr">
        <is>
          <t>a180</t>
        </is>
      </c>
      <c r="B184" t="inlineStr">
        <is>
          <t>waveform_0145.06_pre_single_phasing.csv</t>
        </is>
      </c>
      <c r="C184" t="inlineStr">
        <is>
          <t>single_phasing</t>
        </is>
      </c>
      <c r="D184" t="n">
        <v>0.479167</v>
      </c>
      <c r="E184" t="n">
        <v>0.47917</v>
      </c>
      <c r="F184">
        <f>(D184/E184-1)*100</f>
        <v/>
      </c>
      <c r="G184">
        <f>IF(ABS(F184)&lt;=0.5,"PASS","FAIL")</f>
        <v/>
      </c>
    </row>
    <row r="185">
      <c r="A185" t="inlineStr">
        <is>
          <t>a180</t>
        </is>
      </c>
      <c r="B185" t="inlineStr">
        <is>
          <t>waveform_0165.01_post_itsc_8turn.csv</t>
        </is>
      </c>
      <c r="C185" t="inlineStr">
        <is>
          <t>itsc_8turn</t>
        </is>
      </c>
      <c r="D185" t="n">
        <v>0.122089</v>
      </c>
      <c r="E185" t="n">
        <v>0.12209</v>
      </c>
      <c r="F185">
        <f>(D185/E185-1)*100</f>
        <v/>
      </c>
      <c r="G185">
        <f>IF(ABS(F185)&lt;=0.5,"PASS","FAIL")</f>
        <v/>
      </c>
    </row>
    <row r="186">
      <c r="A186" t="inlineStr">
        <is>
          <t>a180</t>
        </is>
      </c>
      <c r="B186" t="inlineStr">
        <is>
          <t>waveform_0165.01_pre_no_load.csv</t>
        </is>
      </c>
      <c r="C186" t="inlineStr">
        <is>
          <t>no_load</t>
        </is>
      </c>
      <c r="D186" t="n">
        <v>0.027</v>
      </c>
      <c r="E186" t="n">
        <v>0.027</v>
      </c>
      <c r="F186">
        <f>(D186/E186-1)*100</f>
        <v/>
      </c>
      <c r="G186">
        <f>IF(ABS(F186)&lt;=0.5,"PASS","FAIL")</f>
        <v/>
      </c>
    </row>
    <row r="187">
      <c r="A187" t="inlineStr">
        <is>
          <t>a180</t>
        </is>
      </c>
      <c r="B187" t="inlineStr">
        <is>
          <t>waveform_0165.03_post_itsc_8turn.csv</t>
        </is>
      </c>
      <c r="C187" t="inlineStr">
        <is>
          <t>itsc_8turn</t>
        </is>
      </c>
      <c r="D187" t="n">
        <v>0.122089</v>
      </c>
      <c r="E187" t="n">
        <v>0.12209</v>
      </c>
      <c r="F187">
        <f>(D187/E187-1)*100</f>
        <v/>
      </c>
      <c r="G187">
        <f>IF(ABS(F187)&lt;=0.5,"PASS","FAIL")</f>
        <v/>
      </c>
    </row>
    <row r="188">
      <c r="A188" t="inlineStr">
        <is>
          <t>a180</t>
        </is>
      </c>
      <c r="B188" t="inlineStr">
        <is>
          <t>waveform_0165.03_pre_no_load.csv</t>
        </is>
      </c>
      <c r="C188" t="inlineStr">
        <is>
          <t>no_load</t>
        </is>
      </c>
      <c r="D188" t="n">
        <v>0.027</v>
      </c>
      <c r="E188" t="n">
        <v>0.027</v>
      </c>
      <c r="F188">
        <f>(D188/E188-1)*100</f>
        <v/>
      </c>
      <c r="G188">
        <f>IF(ABS(F188)&lt;=0.5,"PASS","FAIL")</f>
        <v/>
      </c>
    </row>
    <row r="189">
      <c r="A189" t="inlineStr">
        <is>
          <t>a180</t>
        </is>
      </c>
      <c r="B189" t="inlineStr">
        <is>
          <t>waveform_0165.04_post_itsc_8turn.csv</t>
        </is>
      </c>
      <c r="C189" t="inlineStr">
        <is>
          <t>itsc_8turn</t>
        </is>
      </c>
      <c r="D189" t="n">
        <v>0.122089</v>
      </c>
      <c r="E189" t="n">
        <v>0.12209</v>
      </c>
      <c r="F189">
        <f>(D189/E189-1)*100</f>
        <v/>
      </c>
      <c r="G189">
        <f>IF(ABS(F189)&lt;=0.5,"PASS","FAIL")</f>
        <v/>
      </c>
    </row>
    <row r="190">
      <c r="A190" t="inlineStr">
        <is>
          <t>a180</t>
        </is>
      </c>
      <c r="B190" t="inlineStr">
        <is>
          <t>waveform_0165.04_pre_no_load.csv</t>
        </is>
      </c>
      <c r="C190" t="inlineStr">
        <is>
          <t>no_load</t>
        </is>
      </c>
      <c r="D190" t="n">
        <v>0.027</v>
      </c>
      <c r="E190" t="n">
        <v>0.027</v>
      </c>
      <c r="F190">
        <f>(D190/E190-1)*100</f>
        <v/>
      </c>
      <c r="G190">
        <f>IF(ABS(F190)&lt;=0.5,"PASS","FAIL")</f>
        <v/>
      </c>
    </row>
    <row r="191">
      <c r="A191" t="inlineStr">
        <is>
          <t>a180</t>
        </is>
      </c>
      <c r="B191" t="inlineStr">
        <is>
          <t>waveform_0165.06_post_itsc_8turn.csv</t>
        </is>
      </c>
      <c r="C191" t="inlineStr">
        <is>
          <t>itsc_8turn</t>
        </is>
      </c>
      <c r="D191" t="n">
        <v>0.122089</v>
      </c>
      <c r="E191" t="n">
        <v>0.12209</v>
      </c>
      <c r="F191">
        <f>(D191/E191-1)*100</f>
        <v/>
      </c>
      <c r="G191">
        <f>IF(ABS(F191)&lt;=0.5,"PASS","FAIL")</f>
        <v/>
      </c>
    </row>
    <row r="192">
      <c r="A192" t="inlineStr">
        <is>
          <t>a180</t>
        </is>
      </c>
      <c r="B192" t="inlineStr">
        <is>
          <t>waveform_0165.06_pre_no_load.csv</t>
        </is>
      </c>
      <c r="C192" t="inlineStr">
        <is>
          <t>no_load</t>
        </is>
      </c>
      <c r="D192" t="n">
        <v>0.027</v>
      </c>
      <c r="E192" t="n">
        <v>0.027</v>
      </c>
      <c r="F192">
        <f>(D192/E192-1)*100</f>
        <v/>
      </c>
      <c r="G192">
        <f>IF(ABS(F192)&lt;=0.5,"PASS","FAIL")</f>
        <v/>
      </c>
    </row>
    <row r="193">
      <c r="A193" t="inlineStr">
        <is>
          <t>a180</t>
        </is>
      </c>
      <c r="B193" t="inlineStr">
        <is>
          <t>waveform_0185.03_post_itsc_16turn.csv</t>
        </is>
      </c>
      <c r="C193" t="inlineStr">
        <is>
          <t>itsc_16turn</t>
        </is>
      </c>
      <c r="D193" t="n">
        <v>0.313563</v>
      </c>
      <c r="E193" t="n">
        <v>0.31356</v>
      </c>
      <c r="F193">
        <f>(D193/E193-1)*100</f>
        <v/>
      </c>
      <c r="G193">
        <f>IF(ABS(F193)&lt;=0.5,"PASS","FAIL")</f>
        <v/>
      </c>
    </row>
    <row r="194">
      <c r="A194" t="inlineStr">
        <is>
          <t>a180</t>
        </is>
      </c>
      <c r="B194" t="inlineStr">
        <is>
          <t>waveform_0185.03_pre_itsc_8turn.csv</t>
        </is>
      </c>
      <c r="C194" t="inlineStr">
        <is>
          <t>itsc_8turn</t>
        </is>
      </c>
      <c r="D194" t="n">
        <v>0.122089</v>
      </c>
      <c r="E194" t="n">
        <v>0.12209</v>
      </c>
      <c r="F194">
        <f>(D194/E194-1)*100</f>
        <v/>
      </c>
      <c r="G194">
        <f>IF(ABS(F194)&lt;=0.5,"PASS","FAIL")</f>
        <v/>
      </c>
    </row>
    <row r="195">
      <c r="A195" t="inlineStr">
        <is>
          <t>a180</t>
        </is>
      </c>
      <c r="B195" t="inlineStr">
        <is>
          <t>waveform_0185.05_post_itsc_16turn.csv</t>
        </is>
      </c>
      <c r="C195" t="inlineStr">
        <is>
          <t>itsc_16turn</t>
        </is>
      </c>
      <c r="D195" t="n">
        <v>0.313563</v>
      </c>
      <c r="E195" t="n">
        <v>0.31356</v>
      </c>
      <c r="F195">
        <f>(D195/E195-1)*100</f>
        <v/>
      </c>
      <c r="G195">
        <f>IF(ABS(F195)&lt;=0.5,"PASS","FAIL")</f>
        <v/>
      </c>
    </row>
    <row r="196">
      <c r="A196" t="inlineStr">
        <is>
          <t>a180</t>
        </is>
      </c>
      <c r="B196" t="inlineStr">
        <is>
          <t>waveform_0185.05_pre_itsc_8turn.csv</t>
        </is>
      </c>
      <c r="C196" t="inlineStr">
        <is>
          <t>itsc_8turn</t>
        </is>
      </c>
      <c r="D196" t="n">
        <v>0.122089</v>
      </c>
      <c r="E196" t="n">
        <v>0.12209</v>
      </c>
      <c r="F196">
        <f>(D196/E196-1)*100</f>
        <v/>
      </c>
      <c r="G196">
        <f>IF(ABS(F196)&lt;=0.5,"PASS","FAIL")</f>
        <v/>
      </c>
    </row>
    <row r="197">
      <c r="A197" t="inlineStr">
        <is>
          <t>a180</t>
        </is>
      </c>
      <c r="B197" t="inlineStr">
        <is>
          <t>waveform_0205.00_post_itsc_4turn_resistive.csv</t>
        </is>
      </c>
      <c r="C197" t="inlineStr">
        <is>
          <t>itsc_4turn_resistive</t>
        </is>
      </c>
      <c r="D197" t="n">
        <v>0.022165</v>
      </c>
      <c r="E197" t="n">
        <v>0.02217</v>
      </c>
      <c r="F197">
        <f>(D197/E197-1)*100</f>
        <v/>
      </c>
      <c r="G197">
        <f>IF(ABS(F197)&lt;=0.5,"PASS","FAIL")</f>
        <v/>
      </c>
    </row>
    <row r="198">
      <c r="A198" t="inlineStr">
        <is>
          <t>a180</t>
        </is>
      </c>
      <c r="B198" t="inlineStr">
        <is>
          <t>waveform_0205.00_pre_itsc_16turn.csv</t>
        </is>
      </c>
      <c r="C198" t="inlineStr">
        <is>
          <t>itsc_16turn</t>
        </is>
      </c>
      <c r="D198" t="n">
        <v>0.313563</v>
      </c>
      <c r="E198" t="n">
        <v>0.31356</v>
      </c>
      <c r="F198">
        <f>(D198/E198-1)*100</f>
        <v/>
      </c>
      <c r="G198">
        <f>IF(ABS(F198)&lt;=0.5,"PASS","FAIL")</f>
        <v/>
      </c>
    </row>
    <row r="199">
      <c r="A199" t="inlineStr">
        <is>
          <t>a180</t>
        </is>
      </c>
      <c r="B199" t="inlineStr">
        <is>
          <t>waveform_0205.02_post_itsc_4turn_resistive.csv</t>
        </is>
      </c>
      <c r="C199" t="inlineStr">
        <is>
          <t>itsc_4turn_resistive</t>
        </is>
      </c>
      <c r="D199" t="n">
        <v>0.022165</v>
      </c>
      <c r="E199" t="n">
        <v>0.02217</v>
      </c>
      <c r="F199">
        <f>(D199/E199-1)*100</f>
        <v/>
      </c>
      <c r="G199">
        <f>IF(ABS(F199)&lt;=0.5,"PASS","FAIL")</f>
        <v/>
      </c>
    </row>
    <row r="200">
      <c r="A200" t="inlineStr">
        <is>
          <t>a180</t>
        </is>
      </c>
      <c r="B200" t="inlineStr">
        <is>
          <t>waveform_0205.02_pre_itsc_16turn.csv</t>
        </is>
      </c>
      <c r="C200" t="inlineStr">
        <is>
          <t>itsc_16turn</t>
        </is>
      </c>
      <c r="D200" t="n">
        <v>0.313563</v>
      </c>
      <c r="E200" t="n">
        <v>0.31356</v>
      </c>
      <c r="F200">
        <f>(D200/E200-1)*100</f>
        <v/>
      </c>
      <c r="G200">
        <f>IF(ABS(F200)&lt;=0.5,"PASS","FAIL")</f>
        <v/>
      </c>
    </row>
    <row r="201">
      <c r="A201" t="inlineStr">
        <is>
          <t>a180</t>
        </is>
      </c>
      <c r="B201" t="inlineStr">
        <is>
          <t>waveform_0205.04_post_itsc_4turn_resistive.csv</t>
        </is>
      </c>
      <c r="C201" t="inlineStr">
        <is>
          <t>itsc_4turn_resistive</t>
        </is>
      </c>
      <c r="D201" t="n">
        <v>0.022165</v>
      </c>
      <c r="E201" t="n">
        <v>0.02217</v>
      </c>
      <c r="F201">
        <f>(D201/E201-1)*100</f>
        <v/>
      </c>
      <c r="G201">
        <f>IF(ABS(F201)&lt;=0.5,"PASS","FAIL")</f>
        <v/>
      </c>
    </row>
    <row r="202">
      <c r="A202" t="inlineStr">
        <is>
          <t>a180</t>
        </is>
      </c>
      <c r="B202" t="inlineStr">
        <is>
          <t>waveform_0205.04_pre_itsc_16turn.csv</t>
        </is>
      </c>
      <c r="C202" t="inlineStr">
        <is>
          <t>itsc_16turn</t>
        </is>
      </c>
      <c r="D202" t="n">
        <v>0.313563</v>
      </c>
      <c r="E202" t="n">
        <v>0.31356</v>
      </c>
      <c r="F202">
        <f>(D202/E202-1)*100</f>
        <v/>
      </c>
      <c r="G202">
        <f>IF(ABS(F202)&lt;=0.5,"PASS","FAIL")</f>
        <v/>
      </c>
    </row>
    <row r="203">
      <c r="A203" t="inlineStr">
        <is>
          <t>a180</t>
        </is>
      </c>
      <c r="B203" t="inlineStr">
        <is>
          <t>waveform_0225.00_post_itsc_4turn_halfload.csv</t>
        </is>
      </c>
      <c r="C203" t="inlineStr">
        <is>
          <t>itsc_4turn_halfload</t>
        </is>
      </c>
      <c r="D203" t="n">
        <v>0.05955</v>
      </c>
      <c r="E203" t="n">
        <v>0.05955</v>
      </c>
      <c r="F203">
        <f>(D203/E203-1)*100</f>
        <v/>
      </c>
      <c r="G203">
        <f>IF(ABS(F203)&lt;=0.5,"PASS","FAIL")</f>
        <v/>
      </c>
    </row>
    <row r="204">
      <c r="A204" t="inlineStr">
        <is>
          <t>a180</t>
        </is>
      </c>
      <c r="B204" t="inlineStr">
        <is>
          <t>waveform_0225.00_pre_itsc_4turn_resistive.csv</t>
        </is>
      </c>
      <c r="C204" t="inlineStr">
        <is>
          <t>itsc_4turn_resistive</t>
        </is>
      </c>
      <c r="D204" t="n">
        <v>0.022165</v>
      </c>
      <c r="E204" t="n">
        <v>0.02217</v>
      </c>
      <c r="F204">
        <f>(D204/E204-1)*100</f>
        <v/>
      </c>
      <c r="G204">
        <f>IF(ABS(F204)&lt;=0.5,"PASS","FAIL")</f>
        <v/>
      </c>
    </row>
    <row r="205">
      <c r="A205" t="inlineStr">
        <is>
          <t>a180</t>
        </is>
      </c>
      <c r="B205" t="inlineStr">
        <is>
          <t>waveform_0225.02_post_itsc_4turn_halfload.csv</t>
        </is>
      </c>
      <c r="C205" t="inlineStr">
        <is>
          <t>itsc_4turn_halfload</t>
        </is>
      </c>
      <c r="D205" t="n">
        <v>0.05955</v>
      </c>
      <c r="E205" t="n">
        <v>0.05955</v>
      </c>
      <c r="F205">
        <f>(D205/E205-1)*100</f>
        <v/>
      </c>
      <c r="G205">
        <f>IF(ABS(F205)&lt;=0.5,"PASS","FAIL")</f>
        <v/>
      </c>
    </row>
    <row r="206">
      <c r="A206" t="inlineStr">
        <is>
          <t>a180</t>
        </is>
      </c>
      <c r="B206" t="inlineStr">
        <is>
          <t>waveform_0225.02_pre_itsc_4turn_resistive.csv</t>
        </is>
      </c>
      <c r="C206" t="inlineStr">
        <is>
          <t>itsc_4turn_resistive</t>
        </is>
      </c>
      <c r="D206" t="n">
        <v>0.022165</v>
      </c>
      <c r="E206" t="n">
        <v>0.02217</v>
      </c>
      <c r="F206">
        <f>(D206/E206-1)*100</f>
        <v/>
      </c>
      <c r="G206">
        <f>IF(ABS(F206)&lt;=0.5,"PASS","FAIL")</f>
        <v/>
      </c>
    </row>
    <row r="207">
      <c r="A207" t="inlineStr">
        <is>
          <t>a180</t>
        </is>
      </c>
      <c r="B207" t="inlineStr">
        <is>
          <t>waveform_0225.03_post_itsc_4turn_halfload.csv</t>
        </is>
      </c>
      <c r="C207" t="inlineStr">
        <is>
          <t>itsc_4turn_halfload</t>
        </is>
      </c>
      <c r="D207" t="n">
        <v>0.05955</v>
      </c>
      <c r="E207" t="n">
        <v>0.05955</v>
      </c>
      <c r="F207">
        <f>(D207/E207-1)*100</f>
        <v/>
      </c>
      <c r="G207">
        <f>IF(ABS(F207)&lt;=0.5,"PASS","FAIL")</f>
        <v/>
      </c>
    </row>
    <row r="208">
      <c r="A208" t="inlineStr">
        <is>
          <t>a180</t>
        </is>
      </c>
      <c r="B208" t="inlineStr">
        <is>
          <t>waveform_0225.03_pre_itsc_4turn_resistive.csv</t>
        </is>
      </c>
      <c r="C208" t="inlineStr">
        <is>
          <t>itsc_4turn_resistive</t>
        </is>
      </c>
      <c r="D208" t="n">
        <v>0.022165</v>
      </c>
      <c r="E208" t="n">
        <v>0.02217</v>
      </c>
      <c r="F208">
        <f>(D208/E208-1)*100</f>
        <v/>
      </c>
      <c r="G208">
        <f>IF(ABS(F208)&lt;=0.5,"PASS","FAIL")</f>
        <v/>
      </c>
    </row>
    <row r="209">
      <c r="A209" t="inlineStr">
        <is>
          <t>a180</t>
        </is>
      </c>
      <c r="B209" t="inlineStr">
        <is>
          <t>waveform_0245.02_post_itsc_4turn_halfload.csv</t>
        </is>
      </c>
      <c r="C209" t="inlineStr">
        <is>
          <t>itsc_4turn_halfload</t>
        </is>
      </c>
      <c r="D209" t="n">
        <v>0.05955</v>
      </c>
      <c r="E209" t="n">
        <v>0.05955</v>
      </c>
      <c r="F209">
        <f>(D209/E209-1)*100</f>
        <v/>
      </c>
      <c r="G209">
        <f>IF(ABS(F209)&lt;=0.5,"PASS","FAIL")</f>
        <v/>
      </c>
    </row>
    <row r="210">
      <c r="A210" t="inlineStr">
        <is>
          <t>a180</t>
        </is>
      </c>
      <c r="B210" t="inlineStr">
        <is>
          <t>waveform_0245.02_pre_itsc_4turn_halfload.csv</t>
        </is>
      </c>
      <c r="C210" t="inlineStr">
        <is>
          <t>itsc_4turn_halfload</t>
        </is>
      </c>
      <c r="D210" t="n">
        <v>0.05955</v>
      </c>
      <c r="E210" t="n">
        <v>0.05955</v>
      </c>
      <c r="F210">
        <f>(D210/E210-1)*100</f>
        <v/>
      </c>
      <c r="G210">
        <f>IF(ABS(F210)&lt;=0.5,"PASS","FAIL")</f>
        <v/>
      </c>
    </row>
    <row r="211">
      <c r="A211" t="inlineStr">
        <is>
          <t>a180</t>
        </is>
      </c>
      <c r="B211" t="inlineStr">
        <is>
          <t>waveform_0245.04_post_itsc_4turn_halfload.csv</t>
        </is>
      </c>
      <c r="C211" t="inlineStr">
        <is>
          <t>itsc_4turn_halfload</t>
        </is>
      </c>
      <c r="D211" t="n">
        <v>0.05955</v>
      </c>
      <c r="E211" t="n">
        <v>0.05955</v>
      </c>
      <c r="F211">
        <f>(D211/E211-1)*100</f>
        <v/>
      </c>
      <c r="G211">
        <f>IF(ABS(F211)&lt;=0.5,"PASS","FAIL")</f>
        <v/>
      </c>
    </row>
    <row r="212">
      <c r="A212" t="inlineStr">
        <is>
          <t>a180</t>
        </is>
      </c>
      <c r="B212" t="inlineStr">
        <is>
          <t>waveform_0245.04_pre_itsc_4turn_halfload.csv</t>
        </is>
      </c>
      <c r="C212" t="inlineStr">
        <is>
          <t>itsc_4turn_halfload</t>
        </is>
      </c>
      <c r="D212" t="n">
        <v>0.05955</v>
      </c>
      <c r="E212" t="n">
        <v>0.05955</v>
      </c>
      <c r="F212">
        <f>(D212/E212-1)*100</f>
        <v/>
      </c>
      <c r="G212">
        <f>IF(ABS(F212)&lt;=0.5,"PASS","FAIL")</f>
        <v/>
      </c>
    </row>
    <row r="213">
      <c r="A213" t="inlineStr">
        <is>
          <t>a180</t>
        </is>
      </c>
      <c r="B213" t="inlineStr">
        <is>
          <t>waveform_0245.05_post_itsc_4turn_halfload.csv</t>
        </is>
      </c>
      <c r="C213" t="inlineStr">
        <is>
          <t>itsc_4turn_halfload</t>
        </is>
      </c>
      <c r="D213" t="n">
        <v>0.05955</v>
      </c>
      <c r="E213" t="n">
        <v>0.05955</v>
      </c>
      <c r="F213">
        <f>(D213/E213-1)*100</f>
        <v/>
      </c>
      <c r="G213">
        <f>IF(ABS(F213)&lt;=0.5,"PASS","FAIL")</f>
        <v/>
      </c>
    </row>
    <row r="214">
      <c r="A214" t="inlineStr">
        <is>
          <t>a180</t>
        </is>
      </c>
      <c r="B214" t="inlineStr">
        <is>
          <t>waveform_0245.05_pre_itsc_4turn_halfload.csv</t>
        </is>
      </c>
      <c r="C214" t="inlineStr">
        <is>
          <t>itsc_4turn_halfload</t>
        </is>
      </c>
      <c r="D214" t="n">
        <v>0.05955</v>
      </c>
      <c r="E214" t="n">
        <v>0.05955</v>
      </c>
      <c r="F214">
        <f>(D214/E214-1)*100</f>
        <v/>
      </c>
      <c r="G214">
        <f>IF(ABS(F214)&lt;=0.5,"PASS","FAIL")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종류</t>
        </is>
      </c>
      <c r="B1" t="inlineStr">
        <is>
          <t>각도/부하</t>
        </is>
      </c>
      <c r="C1" t="inlineStr">
        <is>
          <t>시나리오</t>
        </is>
      </c>
      <c r="D1" t="inlineStr">
        <is>
          <t>합성 I₂/I₁</t>
        </is>
      </c>
      <c r="E1" t="inlineStr">
        <is>
          <t>기대/I₂_In</t>
        </is>
      </c>
      <c r="F1" t="inlineStr">
        <is>
          <t>편차 %</t>
        </is>
      </c>
      <c r="G1" t="inlineStr">
        <is>
          <t>등급</t>
        </is>
      </c>
      <c r="H1" t="inlineStr">
        <is>
          <t>종합</t>
        </is>
      </c>
      <c r="I1" t="inlineStr">
        <is>
          <t>원인</t>
        </is>
      </c>
    </row>
    <row r="2">
      <c r="A2" t="inlineStr">
        <is>
          <t>inherent_angle</t>
        </is>
      </c>
      <c r="B2" t="n">
        <v>0</v>
      </c>
      <c r="C2" t="inlineStr">
        <is>
          <t>itsc_4turn</t>
        </is>
      </c>
      <c r="D2" t="n">
        <v>0.07262</v>
      </c>
      <c r="E2" t="n">
        <v>0.072474</v>
      </c>
      <c r="F2" t="n">
        <v>0.201</v>
      </c>
      <c r="G2" t="inlineStr">
        <is>
          <t>WARN</t>
        </is>
      </c>
      <c r="H2" t="inlineStr">
        <is>
          <t>WARN</t>
        </is>
      </c>
      <c r="I2" t="inlineStr">
        <is>
          <t>i2i1</t>
        </is>
      </c>
    </row>
    <row r="3">
      <c r="A3" t="inlineStr">
        <is>
          <t>inherent_angle</t>
        </is>
      </c>
      <c r="B3" t="n">
        <v>0</v>
      </c>
      <c r="C3" t="inlineStr">
        <is>
          <t>itsc_4turn_resistive</t>
        </is>
      </c>
      <c r="D3" t="n">
        <v>0.03244</v>
      </c>
      <c r="E3" t="n">
        <v>0.032413</v>
      </c>
      <c r="F3" t="n">
        <v>0.083</v>
      </c>
      <c r="G3" t="inlineStr">
        <is>
          <t>SAFE</t>
        </is>
      </c>
      <c r="H3" t="inlineStr">
        <is>
          <t>SAFE</t>
        </is>
      </c>
      <c r="I3" t="inlineStr">
        <is>
          <t>-</t>
        </is>
      </c>
    </row>
    <row r="4">
      <c r="A4" t="inlineStr">
        <is>
          <t>inherent_angle</t>
        </is>
      </c>
      <c r="B4" t="n">
        <v>0</v>
      </c>
      <c r="C4" t="inlineStr">
        <is>
          <t>healthy</t>
        </is>
      </c>
      <c r="D4" t="n">
        <v>0.027</v>
      </c>
      <c r="E4" t="n">
        <v>0.027</v>
      </c>
      <c r="F4" t="n">
        <v>0</v>
      </c>
      <c r="G4" t="inlineStr">
        <is>
          <t>SAFE</t>
        </is>
      </c>
      <c r="H4" t="inlineStr">
        <is>
          <t>SAFE</t>
        </is>
      </c>
      <c r="I4" t="inlineStr">
        <is>
          <t>-</t>
        </is>
      </c>
    </row>
    <row r="5">
      <c r="A5" t="inlineStr">
        <is>
          <t>inherent_angle</t>
        </is>
      </c>
      <c r="B5" t="n">
        <v>90</v>
      </c>
      <c r="C5" t="inlineStr">
        <is>
          <t>itsc_4turn</t>
        </is>
      </c>
      <c r="D5" t="n">
        <v>0.06834</v>
      </c>
      <c r="E5" t="n">
        <v>0.068193</v>
      </c>
      <c r="F5" t="n">
        <v>0.216</v>
      </c>
      <c r="G5" t="inlineStr">
        <is>
          <t>WARN</t>
        </is>
      </c>
      <c r="H5" t="inlineStr">
        <is>
          <t>WARN</t>
        </is>
      </c>
      <c r="I5" t="inlineStr">
        <is>
          <t>i2i1</t>
        </is>
      </c>
    </row>
    <row r="6">
      <c r="A6" t="inlineStr">
        <is>
          <t>inherent_angle</t>
        </is>
      </c>
      <c r="B6" t="n">
        <v>90</v>
      </c>
      <c r="C6" t="inlineStr">
        <is>
          <t>itsc_4turn_resistive</t>
        </is>
      </c>
      <c r="D6" t="n">
        <v>0.03141</v>
      </c>
      <c r="E6" t="n">
        <v>0.031386</v>
      </c>
      <c r="F6" t="n">
        <v>0.076</v>
      </c>
      <c r="G6" t="inlineStr">
        <is>
          <t>SAFE</t>
        </is>
      </c>
      <c r="H6" t="inlineStr">
        <is>
          <t>SAFE</t>
        </is>
      </c>
      <c r="I6" t="inlineStr">
        <is>
          <t>-</t>
        </is>
      </c>
    </row>
    <row r="7">
      <c r="A7" t="inlineStr">
        <is>
          <t>inherent_angle</t>
        </is>
      </c>
      <c r="B7" t="n">
        <v>90</v>
      </c>
      <c r="C7" t="inlineStr">
        <is>
          <t>healthy</t>
        </is>
      </c>
      <c r="D7" t="n">
        <v>0.027</v>
      </c>
      <c r="E7" t="n">
        <v>0.027</v>
      </c>
      <c r="F7" t="n">
        <v>0</v>
      </c>
      <c r="G7" t="inlineStr">
        <is>
          <t>SAFE</t>
        </is>
      </c>
      <c r="H7" t="inlineStr">
        <is>
          <t>SAFE</t>
        </is>
      </c>
      <c r="I7" t="inlineStr">
        <is>
          <t>-</t>
        </is>
      </c>
    </row>
    <row r="8">
      <c r="A8" t="inlineStr">
        <is>
          <t>inherent_angle</t>
        </is>
      </c>
      <c r="B8" t="n">
        <v>180</v>
      </c>
      <c r="C8" t="inlineStr">
        <is>
          <t>itsc_4turn</t>
        </is>
      </c>
      <c r="D8" t="n">
        <v>0.0313</v>
      </c>
      <c r="E8" t="n">
        <v>0.031167</v>
      </c>
      <c r="F8" t="n">
        <v>0.427</v>
      </c>
      <c r="G8" t="inlineStr">
        <is>
          <t>SAFE</t>
        </is>
      </c>
      <c r="H8" t="inlineStr">
        <is>
          <t>SAFE</t>
        </is>
      </c>
      <c r="I8" t="inlineStr">
        <is>
          <t>-</t>
        </is>
      </c>
    </row>
    <row r="9">
      <c r="A9" t="inlineStr">
        <is>
          <t>inherent_angle</t>
        </is>
      </c>
      <c r="B9" t="n">
        <v>180</v>
      </c>
      <c r="C9" t="inlineStr">
        <is>
          <t>itsc_4turn_resistive</t>
        </is>
      </c>
      <c r="D9" t="n">
        <v>0.02217</v>
      </c>
      <c r="E9" t="n">
        <v>0.022185</v>
      </c>
      <c r="F9" t="n">
        <v>-0.068</v>
      </c>
      <c r="G9" t="inlineStr">
        <is>
          <t>SAFE</t>
        </is>
      </c>
      <c r="H9" t="inlineStr">
        <is>
          <t>SAFE</t>
        </is>
      </c>
      <c r="I9" t="inlineStr">
        <is>
          <t>-</t>
        </is>
      </c>
    </row>
    <row r="10">
      <c r="A10" t="inlineStr">
        <is>
          <t>inherent_angle</t>
        </is>
      </c>
      <c r="B10" t="n">
        <v>180</v>
      </c>
      <c r="C10" t="inlineStr">
        <is>
          <t>healthy</t>
        </is>
      </c>
      <c r="D10" t="n">
        <v>0.027</v>
      </c>
      <c r="E10" t="n">
        <v>0.027</v>
      </c>
      <c r="F10" t="n">
        <v>0</v>
      </c>
      <c r="G10" t="inlineStr">
        <is>
          <t>SAFE</t>
        </is>
      </c>
      <c r="H10" t="inlineStr">
        <is>
          <t>SAFE</t>
        </is>
      </c>
      <c r="I10" t="inlineStr">
        <is>
          <t>-</t>
        </is>
      </c>
    </row>
    <row r="11">
      <c r="A11" t="inlineStr">
        <is>
          <t>load</t>
        </is>
      </c>
      <c r="B11" t="n">
        <v>1</v>
      </c>
      <c r="C11" t="inlineStr">
        <is>
          <t>itsc_4turn</t>
        </is>
      </c>
      <c r="D11" t="n">
        <v>0.07262</v>
      </c>
      <c r="E11" t="n">
        <v>0.07503</v>
      </c>
    </row>
    <row r="12">
      <c r="A12" t="inlineStr">
        <is>
          <t>load</t>
        </is>
      </c>
      <c r="B12" t="n">
        <v>0.5</v>
      </c>
      <c r="C12" t="inlineStr">
        <is>
          <t>itsc_4turn_halfload</t>
        </is>
      </c>
      <c r="D12" t="n">
        <v>0.09529</v>
      </c>
      <c r="E12" t="n">
        <v>0.06451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시나리오</t>
        </is>
      </c>
      <c r="B1" t="inlineStr">
        <is>
          <t>주입 전</t>
        </is>
      </c>
      <c r="C1" t="inlineStr">
        <is>
          <t>끝</t>
        </is>
      </c>
      <c r="D1" t="inlineStr">
        <is>
          <t>ΔT 시뮬</t>
        </is>
      </c>
      <c r="E1" t="inlineStr">
        <is>
          <t>ΔT 역산</t>
        </is>
      </c>
      <c r="F1" t="inlineStr">
        <is>
          <t>편차 % (수식)</t>
        </is>
      </c>
      <c r="G1" t="inlineStr">
        <is>
          <t>판정 (±5 %)</t>
        </is>
      </c>
      <c r="H1" t="inlineStr">
        <is>
          <t>시뮬 분</t>
        </is>
      </c>
      <c r="I1" t="inlineStr">
        <is>
          <t>P_loop W</t>
        </is>
      </c>
    </row>
    <row r="2">
      <c r="A2" t="inlineStr">
        <is>
          <t>itsc_4turn</t>
        </is>
      </c>
      <c r="B2" t="n">
        <v>42.205</v>
      </c>
      <c r="C2" t="n">
        <v>70.622</v>
      </c>
      <c r="D2" t="n">
        <v>45.622</v>
      </c>
      <c r="E2" t="n">
        <v>45.622</v>
      </c>
      <c r="F2">
        <f>(D2/E2-1)*100</f>
        <v/>
      </c>
      <c r="G2">
        <f>IF(ABS(F2)&lt;=5,"PASS","FAIL")</f>
        <v/>
      </c>
      <c r="H2" t="n">
        <v>300</v>
      </c>
      <c r="I2" t="n">
        <v>158.1</v>
      </c>
    </row>
    <row r="3">
      <c r="A3" t="inlineStr">
        <is>
          <t>itsc_12turn</t>
        </is>
      </c>
      <c r="B3" t="n">
        <v>42.211</v>
      </c>
      <c r="C3" t="n">
        <v>199.364</v>
      </c>
      <c r="D3" t="n">
        <v>174.364</v>
      </c>
      <c r="E3" t="n">
        <v>174.366</v>
      </c>
      <c r="F3">
        <f>(D3/E3-1)*100</f>
        <v/>
      </c>
      <c r="G3">
        <f>IF(ABS(F3)&lt;=5,"PASS","FAIL")</f>
        <v/>
      </c>
      <c r="H3" t="n">
        <v>300</v>
      </c>
      <c r="I3" t="n">
        <v>977.46</v>
      </c>
    </row>
    <row r="4">
      <c r="A4" t="inlineStr">
        <is>
          <t>itsc_16turn</t>
        </is>
      </c>
      <c r="B4" t="n">
        <v>42.205</v>
      </c>
      <c r="C4" t="n">
        <v>286.944</v>
      </c>
      <c r="D4" t="n">
        <v>261.944</v>
      </c>
      <c r="E4" t="n">
        <v>261.947</v>
      </c>
      <c r="F4">
        <f>(D4/E4-1)*100</f>
        <v/>
      </c>
      <c r="G4">
        <f>IF(ABS(F4)&lt;=5,"PASS","FAIL")</f>
        <v/>
      </c>
      <c r="H4" t="n">
        <v>299.9</v>
      </c>
      <c r="I4" t="n">
        <v>1523.26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2026-10-21T14:25:51Z</dcterms:created>
  <dcterms:modified xmlns:dcterms="http://purl.org/dc/terms/" xmlns:xsi="http://www.w3.org/2001/XMLSchema-instance" xsi:type="dcterms:W3CDTF">2026-10-21T14:25:51Z</dcterms:modified>
</cp:coreProperties>
</file>