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조표" sheetId="1" state="visible" r:id="rId1"/>
    <sheet name="이벤트" sheetId="2" state="visible" r:id="rId2"/>
    <sheet name="재계산" sheetId="3" state="visible" r:id="rId3"/>
    <sheet name="민감도" sheetId="4" state="visible" r:id="rId4"/>
    <sheet name="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시나리오</t>
        </is>
      </c>
      <c r="C1" s="1" t="inlineStr">
        <is>
          <t>시뮬(로그)</t>
        </is>
      </c>
      <c r="D1" s="1" t="inlineStr">
        <is>
          <t>해석 기준</t>
        </is>
      </c>
      <c r="E1" s="1" t="inlineStr">
        <is>
          <t>허용(상대)</t>
        </is>
      </c>
      <c r="F1" s="1" t="inlineStr">
        <is>
          <t>편차 % (수식)</t>
        </is>
      </c>
      <c r="G1" s="1" t="inlineStr">
        <is>
          <t>판정 (수식)</t>
        </is>
      </c>
      <c r="H1" s="1" t="inlineStr">
        <is>
          <t>비고</t>
        </is>
      </c>
      <c r="I1" s="1" t="inlineStr">
        <is>
          <t>출처</t>
        </is>
      </c>
      <c r="J1" s="1" t="inlineStr">
        <is>
          <t>종류</t>
        </is>
      </c>
    </row>
    <row r="2">
      <c r="A2" t="inlineStr">
        <is>
          <t>정상 상태 (I₂/I₁ 마지막 5 s 표준편차 &lt; 1 %)</t>
        </is>
      </c>
      <c r="B2" t="inlineStr">
        <is>
          <t>healthy</t>
        </is>
      </c>
      <c r="C2" t="n">
        <v>0</v>
      </c>
      <c r="D2" t="n">
        <v>1</v>
      </c>
      <c r="G2" t="inlineStr">
        <is>
          <t>PASS</t>
        </is>
      </c>
      <c r="H2" t="inlineStr">
        <is>
          <t>n=89</t>
        </is>
      </c>
      <c r="I2" t="inlineStr">
        <is>
          <t>state.csv</t>
        </is>
      </c>
      <c r="J2" t="inlineStr">
        <is>
          <t>bool</t>
        </is>
      </c>
    </row>
    <row r="3">
      <c r="A3" t="inlineStr">
        <is>
          <t>I₂/I₁ 결함분 (합성 − 고유 비대칭 페이저)</t>
        </is>
      </c>
      <c r="B3" t="inlineStr">
        <is>
          <t>healthy</t>
        </is>
      </c>
      <c r="C3" t="n">
        <v>0</v>
      </c>
      <c r="D3" t="n">
        <v>0</v>
      </c>
      <c r="E3" t="n">
        <v>0.01</v>
      </c>
      <c r="G3" t="inlineStr">
        <is>
          <t>PASS</t>
        </is>
      </c>
      <c r="H3" t="inlineStr">
        <is>
          <t>합성 0.02700 ∠0.0°, 고유 0.027 ∠0°</t>
        </is>
      </c>
      <c r="I3" t="inlineStr">
        <is>
          <t>LUT v2 격자 (mccm_results)</t>
        </is>
      </c>
      <c r="J3" t="inlineStr">
        <is>
          <t>rel</t>
        </is>
      </c>
    </row>
    <row r="4">
      <c r="A4" t="inlineStr">
        <is>
          <t>I₂/I₁ 합성값 (범위 |r−h| ~ r+h)</t>
        </is>
      </c>
      <c r="B4" t="inlineStr">
        <is>
          <t>healthy</t>
        </is>
      </c>
      <c r="C4" t="n">
        <v>0.027</v>
      </c>
      <c r="D4" t="inlineStr">
        <is>
          <t>0.027~0.027</t>
        </is>
      </c>
      <c r="G4">
        <f>IF(AND(C4&gt;=0.027,C4&lt;=0.027),"PASS","FAIL")</f>
        <v/>
      </c>
      <c r="H4" t="inlineStr">
        <is>
          <t>기대(각도 0°) 0.027</t>
        </is>
      </c>
      <c r="I4" t="inlineStr">
        <is>
          <t>LUT + inherent</t>
        </is>
      </c>
      <c r="J4" t="inlineStr">
        <is>
          <t>range</t>
        </is>
      </c>
    </row>
    <row r="5">
      <c r="A5" t="inlineStr">
        <is>
          <t>I₂/I₁ 합성값 vs 기대(각도 0°)</t>
        </is>
      </c>
      <c r="B5" t="inlineStr">
        <is>
          <t>healthy</t>
        </is>
      </c>
      <c r="C5" t="n">
        <v>0.027</v>
      </c>
      <c r="D5" t="n">
        <v>0.027</v>
      </c>
      <c r="E5" t="n">
        <v>0.01</v>
      </c>
      <c r="F5">
        <f>(C5/D5-1)*100</f>
        <v/>
      </c>
      <c r="G5">
        <f>IF(ABS(F5)&lt;=E5*100,"PASS","FAIL")</f>
        <v/>
      </c>
      <c r="H5" t="inlineStr"/>
      <c r="I5" t="inlineStr">
        <is>
          <t>LUT + inherent</t>
        </is>
      </c>
      <c r="J5" t="inlineStr">
        <is>
          <t>rel</t>
        </is>
      </c>
    </row>
    <row r="6">
      <c r="A6" t="inlineStr">
        <is>
          <t>I₂/I_n (시뮬 규약: 결함분×부하) vs LUT I₂/I_n</t>
        </is>
      </c>
      <c r="B6" t="inlineStr">
        <is>
          <t>healthy</t>
        </is>
      </c>
      <c r="C6" t="n">
        <v>0</v>
      </c>
      <c r="D6" t="n">
        <v>0</v>
      </c>
      <c r="E6" t="n">
        <v>0.01</v>
      </c>
      <c r="G6" t="inlineStr">
        <is>
          <t>PASS</t>
        </is>
      </c>
      <c r="H6" t="inlineStr">
        <is>
          <t>FAIL 사유(규약 차이): 엔진은 I₁ 을 정격×부하로 고정하고 LUT 는 결함 시 I₁ 이 상승(4T 4.89 A, 16T 6.63 A) → 분모·분자 모두 달라 결함이 클수록 벌어짐. 값 변경 금지 범위 — 보고만</t>
        </is>
      </c>
      <c r="I6" t="inlineStr">
        <is>
          <t>LUT v2</t>
        </is>
      </c>
      <c r="J6" t="inlineStr">
        <is>
          <t>rel</t>
        </is>
      </c>
    </row>
    <row r="7">
      <c r="A7" t="inlineStr">
        <is>
          <t>I₂/I_n 표시값 vs 시뮬 기대(합성×부하)</t>
        </is>
      </c>
      <c r="B7" t="inlineStr">
        <is>
          <t>healthy</t>
        </is>
      </c>
      <c r="C7" t="n">
        <v>0.027</v>
      </c>
      <c r="D7" t="n">
        <v>0.027</v>
      </c>
      <c r="E7" t="n">
        <v>0.01</v>
      </c>
      <c r="F7">
        <f>(C7/D7-1)*100</f>
        <v/>
      </c>
      <c r="G7">
        <f>IF(ABS(F7)&lt;=E7*100,"PASS","FAIL")</f>
        <v/>
      </c>
      <c r="H7" t="inlineStr">
        <is>
          <t>표시값 자체의 일관성</t>
        </is>
      </c>
      <c r="I7" t="inlineStr">
        <is>
          <t>LUT + inherent</t>
        </is>
      </c>
      <c r="J7" t="inlineStr">
        <is>
          <t>rel</t>
        </is>
      </c>
    </row>
    <row r="8">
      <c r="A8" t="inlineStr">
        <is>
          <t>상 불평형 max dev [%] vs LUT 합성 기대</t>
        </is>
      </c>
      <c r="B8" t="inlineStr">
        <is>
          <t>healthy</t>
        </is>
      </c>
      <c r="C8" t="n">
        <v>2.6803</v>
      </c>
      <c r="D8" t="n">
        <v>2.681</v>
      </c>
      <c r="E8" t="n">
        <v>0.02</v>
      </c>
      <c r="F8">
        <f>(C8/D8-1)*100</f>
        <v/>
      </c>
      <c r="G8">
        <f>IF(ABS(F8)&lt;=E8*100,"PASS","FAIL")</f>
        <v/>
      </c>
      <c r="H8" t="inlineStr">
        <is>
          <t>LUT 자체 0.0 % (LUT I₁ 기준)</t>
        </is>
      </c>
      <c r="I8" t="inlineStr">
        <is>
          <t>LUT + inherent</t>
        </is>
      </c>
      <c r="J8" t="inlineStr">
        <is>
          <t>rel</t>
        </is>
      </c>
    </row>
    <row r="9">
      <c r="A9" t="inlineStr">
        <is>
          <t>판정 (장면 끝 종합 상태) vs 예상</t>
        </is>
      </c>
      <c r="B9" t="inlineStr">
        <is>
          <t>healthy</t>
        </is>
      </c>
      <c r="C9" t="inlineStr">
        <is>
          <t>SAFE</t>
        </is>
      </c>
      <c r="D9" t="inlineStr">
        <is>
          <t>SAFE</t>
        </is>
      </c>
      <c r="G9">
        <f>IF(C9=D9,"PASS","FAIL")</f>
        <v/>
      </c>
      <c r="H9" t="inlineStr">
        <is>
          <t>원인 - 0.0 · i2i1 예상 SAFE</t>
        </is>
      </c>
      <c r="I9" t="inlineStr">
        <is>
          <t>thresholds.yaml</t>
        </is>
      </c>
      <c r="J9" t="inlineStr">
        <is>
          <t>match</t>
        </is>
      </c>
    </row>
    <row r="10">
      <c r="A10" t="inlineStr">
        <is>
          <t>정상 상태 (I₂/I₁ 마지막 5 s 표준편차 &lt; 1 %)</t>
        </is>
      </c>
      <c r="B10" t="inlineStr">
        <is>
          <t>itsc_4turn</t>
        </is>
      </c>
      <c r="C10" t="n">
        <v>0</v>
      </c>
      <c r="D10" t="n">
        <v>1</v>
      </c>
      <c r="G10" t="inlineStr">
        <is>
          <t>PASS</t>
        </is>
      </c>
      <c r="H10" t="inlineStr">
        <is>
          <t>n=89</t>
        </is>
      </c>
      <c r="I10" t="inlineStr">
        <is>
          <t>state.csv</t>
        </is>
      </c>
      <c r="J10" t="inlineStr">
        <is>
          <t>bool</t>
        </is>
      </c>
    </row>
    <row r="11">
      <c r="A11" t="inlineStr">
        <is>
          <t>I₂/I₁ 결함분 (합성 − 고유 비대칭 페이저)</t>
        </is>
      </c>
      <c r="B11" t="inlineStr">
        <is>
          <t>itsc_4turn</t>
        </is>
      </c>
      <c r="C11" t="n">
        <v>0.048965</v>
      </c>
      <c r="D11" t="n">
        <v>0.048815</v>
      </c>
      <c r="E11" t="n">
        <v>0.01</v>
      </c>
      <c r="F11">
        <f>(C11/D11-1)*100</f>
        <v/>
      </c>
      <c r="G11">
        <f>IF(ABS(F11)&lt;=E11*100,"PASS","FAIL")</f>
        <v/>
      </c>
      <c r="H11" t="inlineStr">
        <is>
          <t>합성 0.07262 ∠23.2°, 고유 0.027 ∠0°</t>
        </is>
      </c>
      <c r="I11" t="inlineStr">
        <is>
          <t>LUT v2 격자 (mccm_results)</t>
        </is>
      </c>
      <c r="J11" t="inlineStr">
        <is>
          <t>rel</t>
        </is>
      </c>
    </row>
    <row r="12">
      <c r="A12" t="inlineStr">
        <is>
          <t>I₂/I₁ 합성값 (범위 |r−h| ~ r+h)</t>
        </is>
      </c>
      <c r="B12" t="inlineStr">
        <is>
          <t>itsc_4turn</t>
        </is>
      </c>
      <c r="C12" t="n">
        <v>0.07262</v>
      </c>
      <c r="D12" t="inlineStr">
        <is>
          <t>0.021815~0.075815</t>
        </is>
      </c>
      <c r="G12">
        <f>IF(AND(C12&gt;=0.021815,C12&lt;=0.075815),"PASS","FAIL")</f>
        <v/>
      </c>
      <c r="H12" t="inlineStr">
        <is>
          <t>기대(각도 0°) 0.072474</t>
        </is>
      </c>
      <c r="I12" t="inlineStr">
        <is>
          <t>LUT + inherent</t>
        </is>
      </c>
      <c r="J12" t="inlineStr">
        <is>
          <t>range</t>
        </is>
      </c>
    </row>
    <row r="13">
      <c r="A13" t="inlineStr">
        <is>
          <t>I₂/I₁ 합성값 vs 기대(각도 0°)</t>
        </is>
      </c>
      <c r="B13" t="inlineStr">
        <is>
          <t>itsc_4turn</t>
        </is>
      </c>
      <c r="C13" t="n">
        <v>0.07262</v>
      </c>
      <c r="D13" t="n">
        <v>0.072474</v>
      </c>
      <c r="E13" t="n">
        <v>0.01</v>
      </c>
      <c r="F13">
        <f>(C13/D13-1)*100</f>
        <v/>
      </c>
      <c r="G13">
        <f>IF(ABS(F13)&lt;=E13*100,"PASS","FAIL")</f>
        <v/>
      </c>
      <c r="H13" t="inlineStr"/>
      <c r="I13" t="inlineStr">
        <is>
          <t>LUT + inherent</t>
        </is>
      </c>
      <c r="J13" t="inlineStr">
        <is>
          <t>rel</t>
        </is>
      </c>
    </row>
    <row r="14">
      <c r="A14" s="2" t="inlineStr">
        <is>
          <t>I₂/I_n (시뮬 규약: 결함분×부하) vs LUT I₂/I_n</t>
        </is>
      </c>
      <c r="B14" s="2" t="inlineStr">
        <is>
          <t>itsc_4turn</t>
        </is>
      </c>
      <c r="C14" s="2" t="n">
        <v>0.048965</v>
      </c>
      <c r="D14" s="2" t="n">
        <v>0.050428</v>
      </c>
      <c r="E14" s="2" t="n">
        <v>0.01</v>
      </c>
      <c r="F14" s="2">
        <f>(C14/D14-1)*100</f>
        <v/>
      </c>
      <c r="G14" s="2">
        <f>IF(ABS(F14)&lt;=E14*100,"PASS","FAIL")</f>
        <v/>
      </c>
      <c r="H14" s="2" t="inlineStr">
        <is>
          <t>FAIL 사유(규약 차이): 엔진은 I₁ 을 정격×부하로 고정하고 LUT 는 결함 시 I₁ 이 상승(4T 4.89 A, 16T 6.63 A) → 분모·분자 모두 달라 결함이 클수록 벌어짐. 값 변경 금지 범위 — 보고만</t>
        </is>
      </c>
      <c r="I14" s="2" t="inlineStr">
        <is>
          <t>LUT v2</t>
        </is>
      </c>
      <c r="J14" s="2" t="inlineStr">
        <is>
          <t>rel</t>
        </is>
      </c>
    </row>
    <row r="15">
      <c r="A15" t="inlineStr">
        <is>
          <t>I₂/I_n 표시값 vs 시뮬 기대(합성×부하)</t>
        </is>
      </c>
      <c r="B15" t="inlineStr">
        <is>
          <t>itsc_4turn</t>
        </is>
      </c>
      <c r="C15" t="n">
        <v>0.07262</v>
      </c>
      <c r="D15" t="n">
        <v>0.072474</v>
      </c>
      <c r="E15" t="n">
        <v>0.01</v>
      </c>
      <c r="F15">
        <f>(C15/D15-1)*100</f>
        <v/>
      </c>
      <c r="G15">
        <f>IF(ABS(F15)&lt;=E15*100,"PASS","FAIL")</f>
        <v/>
      </c>
      <c r="H15" t="inlineStr">
        <is>
          <t>표시값 자체의 일관성</t>
        </is>
      </c>
      <c r="I15" t="inlineStr">
        <is>
          <t>LUT + inherent</t>
        </is>
      </c>
      <c r="J15" t="inlineStr">
        <is>
          <t>rel</t>
        </is>
      </c>
    </row>
    <row r="16">
      <c r="A16" t="inlineStr">
        <is>
          <t>상 불평형 max dev [%] vs LUT 합성 기대</t>
        </is>
      </c>
      <c r="B16" t="inlineStr">
        <is>
          <t>itsc_4turn</t>
        </is>
      </c>
      <c r="C16" t="n">
        <v>6.5719</v>
      </c>
      <c r="D16" t="n">
        <v>6.5603</v>
      </c>
      <c r="E16" t="n">
        <v>0.02</v>
      </c>
      <c r="F16">
        <f>(C16/D16-1)*100</f>
        <v/>
      </c>
      <c r="G16">
        <f>IF(ABS(F16)&lt;=E16*100,"PASS","FAIL")</f>
        <v/>
      </c>
      <c r="H16" t="inlineStr">
        <is>
          <t>LUT 자체 4.4846 % (LUT I₁ 기준)</t>
        </is>
      </c>
      <c r="I16" t="inlineStr">
        <is>
          <t>LUT + inherent</t>
        </is>
      </c>
      <c r="J16" t="inlineStr">
        <is>
          <t>rel</t>
        </is>
      </c>
    </row>
    <row r="17">
      <c r="A17" t="inlineStr">
        <is>
          <t>단락 루프 전류 I_f [A] vs MCCM</t>
        </is>
      </c>
      <c r="B17" t="inlineStr">
        <is>
          <t>itsc_4turn</t>
        </is>
      </c>
      <c r="C17" t="n">
        <v>34.381</v>
      </c>
      <c r="D17" t="n">
        <v>34.3475</v>
      </c>
      <c r="E17" t="n">
        <v>0.01</v>
      </c>
      <c r="F17">
        <f>(C17/D17-1)*100</f>
        <v/>
      </c>
      <c r="G17">
        <f>IF(ABS(F17)&lt;=E17*100,"PASS","FAIL")</f>
        <v/>
      </c>
      <c r="H17" t="inlineStr">
        <is>
          <t>FEM(F1 보정) 35.16 A 참고</t>
        </is>
      </c>
      <c r="I17" t="inlineStr">
        <is>
          <t>mccm_results.json</t>
        </is>
      </c>
      <c r="J17" t="inlineStr">
        <is>
          <t>rel</t>
        </is>
      </c>
    </row>
    <row r="18">
      <c r="A18" t="inlineStr">
        <is>
          <t>I_f [A] vs 2D FEM(F1 보정) — 참고 열</t>
        </is>
      </c>
      <c r="B18" t="inlineStr">
        <is>
          <t>itsc_4turn</t>
        </is>
      </c>
      <c r="C18" t="n">
        <v>34.381</v>
      </c>
      <c r="D18" t="n">
        <v>35.15508007133644</v>
      </c>
      <c r="E18" t="n">
        <v>0.05</v>
      </c>
      <c r="F18">
        <f>(C18/D18-1)*100</f>
        <v/>
      </c>
      <c r="G18">
        <f>IF(ABS(F18)&lt;=E18*100,"PASS","FAIL")</f>
        <v/>
      </c>
      <c r="H18" t="inlineStr">
        <is>
          <t>참고(±5 % MCCM↔FEM 정합 범위)</t>
        </is>
      </c>
      <c r="I18" t="inlineStr">
        <is>
          <t>f2_corrections.json F1</t>
        </is>
      </c>
      <c r="J18" t="inlineStr">
        <is>
          <t>rel</t>
        </is>
      </c>
    </row>
    <row r="19">
      <c r="A19" t="inlineStr">
        <is>
          <t>단락 루프 총손실 [W] vs I_f²(R_f+μR1_hot)+단락턴 동손 (MCCM)</t>
        </is>
      </c>
      <c r="B19" t="inlineStr">
        <is>
          <t>itsc_4turn</t>
        </is>
      </c>
      <c r="C19" t="n">
        <v>158.1</v>
      </c>
      <c r="D19" t="n">
        <v>157.539</v>
      </c>
      <c r="E19" t="n">
        <v>0.02</v>
      </c>
      <c r="F19">
        <f>(C19/D19-1)*100</f>
        <v/>
      </c>
      <c r="G19">
        <f>IF(ABS(F19)&lt;=E19*100,"PASS","FAIL")</f>
        <v/>
      </c>
      <c r="H19" t="inlineStr">
        <is>
          <t>공식(루프 저항항만) 157.5 W</t>
        </is>
      </c>
      <c r="I19" t="inlineStr">
        <is>
          <t>mccm_results.json</t>
        </is>
      </c>
      <c r="J19" t="inlineStr">
        <is>
          <t>rel</t>
        </is>
      </c>
    </row>
    <row r="20">
      <c r="A20" t="inlineStr">
        <is>
          <t>판정 (장면 끝 종합 상태) vs 예상</t>
        </is>
      </c>
      <c r="B20" t="inlineStr">
        <is>
          <t>itsc_4turn</t>
        </is>
      </c>
      <c r="C20" t="inlineStr">
        <is>
          <t>WARN</t>
        </is>
      </c>
      <c r="D20" t="inlineStr">
        <is>
          <t>WARN</t>
        </is>
      </c>
      <c r="G20">
        <f>IF(C20=D20,"PASS","FAIL")</f>
        <v/>
      </c>
      <c r="H20" t="inlineStr">
        <is>
          <t>원인 i2i1 0.0726 · i2i1 예상 WARN</t>
        </is>
      </c>
      <c r="I20" t="inlineStr">
        <is>
          <t>thresholds.yaml</t>
        </is>
      </c>
      <c r="J20" t="inlineStr">
        <is>
          <t>match</t>
        </is>
      </c>
    </row>
    <row r="21">
      <c r="A21" t="inlineStr">
        <is>
          <t>탐지 지연 [s] (주입 → 첫 상향, 지속 3 s 규칙)</t>
        </is>
      </c>
      <c r="B21" t="inlineStr">
        <is>
          <t>itsc_4turn</t>
        </is>
      </c>
      <c r="C21" t="n">
        <v>3.06</v>
      </c>
      <c r="D21" t="n">
        <v>3</v>
      </c>
      <c r="E21" t="n">
        <v>0.2</v>
      </c>
      <c r="F21">
        <f>(C21/D21-1)*100</f>
        <v/>
      </c>
      <c r="G21">
        <f>IF(ABS(F21)&lt;=E21*100,"PASS","FAIL")</f>
        <v/>
      </c>
      <c r="H21" t="inlineStr">
        <is>
          <t>첫 WARN</t>
        </is>
      </c>
      <c r="I21" t="inlineStr">
        <is>
          <t>thresholds.yaml persistence_s</t>
        </is>
      </c>
      <c r="J21" t="inlineStr">
        <is>
          <t>rel</t>
        </is>
      </c>
    </row>
    <row r="22">
      <c r="A22" t="inlineStr">
        <is>
          <t>정상 상태 (I₂/I₁ 마지막 5 s 표준편차 &lt; 1 %)</t>
        </is>
      </c>
      <c r="B22" t="inlineStr">
        <is>
          <t>itsc_12turn</t>
        </is>
      </c>
      <c r="C22" t="n">
        <v>0</v>
      </c>
      <c r="D22" t="n">
        <v>1</v>
      </c>
      <c r="G22" t="inlineStr">
        <is>
          <t>PASS</t>
        </is>
      </c>
      <c r="H22" t="inlineStr">
        <is>
          <t>n=89</t>
        </is>
      </c>
      <c r="I22" t="inlineStr">
        <is>
          <t>state.csv</t>
        </is>
      </c>
      <c r="J22" t="inlineStr">
        <is>
          <t>bool</t>
        </is>
      </c>
    </row>
    <row r="23">
      <c r="A23" t="inlineStr">
        <is>
          <t>I₂/I₁ 결함분 (합성 − 고유 비대칭 페이저)</t>
        </is>
      </c>
      <c r="B23" t="inlineStr">
        <is>
          <t>itsc_12turn</t>
        </is>
      </c>
      <c r="C23" t="n">
        <v>0.245515</v>
      </c>
      <c r="D23" t="n">
        <v>0.245513</v>
      </c>
      <c r="E23" t="n">
        <v>0.01</v>
      </c>
      <c r="F23">
        <f>(C23/D23-1)*100</f>
        <v/>
      </c>
      <c r="G23">
        <f>IF(ABS(F23)&lt;=E23*100,"PASS","FAIL")</f>
        <v/>
      </c>
      <c r="H23" t="inlineStr">
        <is>
          <t>합성 0.26958 ∠25.6°, 고유 0.027 ∠0°</t>
        </is>
      </c>
      <c r="I23" t="inlineStr">
        <is>
          <t>LUT v2 격자 (mccm_results)</t>
        </is>
      </c>
      <c r="J23" t="inlineStr">
        <is>
          <t>rel</t>
        </is>
      </c>
    </row>
    <row r="24">
      <c r="A24" t="inlineStr">
        <is>
          <t>I₂/I₁ 합성값 (범위 |r−h| ~ r+h)</t>
        </is>
      </c>
      <c r="B24" t="inlineStr">
        <is>
          <t>itsc_12turn</t>
        </is>
      </c>
      <c r="C24" t="n">
        <v>0.26958</v>
      </c>
      <c r="D24" t="inlineStr">
        <is>
          <t>0.218513~0.272513</t>
        </is>
      </c>
      <c r="G24">
        <f>IF(AND(C24&gt;=0.218513,C24&lt;=0.272513),"PASS","FAIL")</f>
        <v/>
      </c>
      <c r="H24" t="inlineStr">
        <is>
          <t>기대(각도 0°) 0.269578</t>
        </is>
      </c>
      <c r="I24" t="inlineStr">
        <is>
          <t>LUT + inherent</t>
        </is>
      </c>
      <c r="J24" t="inlineStr">
        <is>
          <t>range</t>
        </is>
      </c>
    </row>
    <row r="25">
      <c r="A25" t="inlineStr">
        <is>
          <t>I₂/I₁ 합성값 vs 기대(각도 0°)</t>
        </is>
      </c>
      <c r="B25" t="inlineStr">
        <is>
          <t>itsc_12turn</t>
        </is>
      </c>
      <c r="C25" t="n">
        <v>0.26958</v>
      </c>
      <c r="D25" t="n">
        <v>0.269578</v>
      </c>
      <c r="E25" t="n">
        <v>0.01</v>
      </c>
      <c r="F25">
        <f>(C25/D25-1)*100</f>
        <v/>
      </c>
      <c r="G25">
        <f>IF(ABS(F25)&lt;=E25*100,"PASS","FAIL")</f>
        <v/>
      </c>
      <c r="H25" t="inlineStr"/>
      <c r="I25" t="inlineStr">
        <is>
          <t>LUT + inherent</t>
        </is>
      </c>
      <c r="J25" t="inlineStr">
        <is>
          <t>rel</t>
        </is>
      </c>
    </row>
    <row r="26">
      <c r="A26" s="2" t="inlineStr">
        <is>
          <t>I₂/I_n (시뮬 규약: 결함분×부하) vs LUT I₂/I_n</t>
        </is>
      </c>
      <c r="B26" s="2" t="inlineStr">
        <is>
          <t>itsc_12turn</t>
        </is>
      </c>
      <c r="C26" s="2" t="n">
        <v>0.245515</v>
      </c>
      <c r="D26" s="2" t="n">
        <v>0.307449</v>
      </c>
      <c r="E26" s="2" t="n">
        <v>0.01</v>
      </c>
      <c r="F26" s="2">
        <f>(C26/D26-1)*100</f>
        <v/>
      </c>
      <c r="G26" s="2">
        <f>IF(ABS(F26)&lt;=E26*100,"PASS","FAIL")</f>
        <v/>
      </c>
      <c r="H26" s="2" t="inlineStr">
        <is>
          <t>FAIL 사유(규약 차이): 엔진은 I₁ 을 정격×부하로 고정하고 LUT 는 결함 시 I₁ 이 상승(4T 4.89 A, 16T 6.63 A) → 분모·분자 모두 달라 결함이 클수록 벌어짐. 값 변경 금지 범위 — 보고만</t>
        </is>
      </c>
      <c r="I26" s="2" t="inlineStr">
        <is>
          <t>LUT v2</t>
        </is>
      </c>
      <c r="J26" s="2" t="inlineStr">
        <is>
          <t>rel</t>
        </is>
      </c>
    </row>
    <row r="27">
      <c r="A27" t="inlineStr">
        <is>
          <t>I₂/I_n 표시값 vs 시뮬 기대(합성×부하)</t>
        </is>
      </c>
      <c r="B27" t="inlineStr">
        <is>
          <t>itsc_12turn</t>
        </is>
      </c>
      <c r="C27" t="n">
        <v>0.26958</v>
      </c>
      <c r="D27" t="n">
        <v>0.269578</v>
      </c>
      <c r="E27" t="n">
        <v>0.01</v>
      </c>
      <c r="F27">
        <f>(C27/D27-1)*100</f>
        <v/>
      </c>
      <c r="G27">
        <f>IF(ABS(F27)&lt;=E27*100,"PASS","FAIL")</f>
        <v/>
      </c>
      <c r="H27" t="inlineStr">
        <is>
          <t>표시값 자체의 일관성</t>
        </is>
      </c>
      <c r="I27" t="inlineStr">
        <is>
          <t>LUT + inherent</t>
        </is>
      </c>
      <c r="J27" t="inlineStr">
        <is>
          <t>rel</t>
        </is>
      </c>
    </row>
    <row r="28">
      <c r="A28" t="inlineStr">
        <is>
          <t>상 불평형 max dev [%] vs LUT 합성 기대</t>
        </is>
      </c>
      <c r="B28" t="inlineStr">
        <is>
          <t>itsc_12turn</t>
        </is>
      </c>
      <c r="C28" t="n">
        <v>22.5449</v>
      </c>
      <c r="D28" t="n">
        <v>22.5458</v>
      </c>
      <c r="E28" t="n">
        <v>0.02</v>
      </c>
      <c r="F28">
        <f>(C28/D28-1)*100</f>
        <v/>
      </c>
      <c r="G28">
        <f>IF(ABS(F28)&lt;=E28*100,"PASS","FAIL")</f>
        <v/>
      </c>
      <c r="H28" t="inlineStr">
        <is>
          <t>LUT 자체 21.067 % (LUT I₁ 기준)</t>
        </is>
      </c>
      <c r="I28" t="inlineStr">
        <is>
          <t>LUT + inherent</t>
        </is>
      </c>
      <c r="J28" t="inlineStr">
        <is>
          <t>rel</t>
        </is>
      </c>
    </row>
    <row r="29">
      <c r="A29" t="inlineStr">
        <is>
          <t>단락 루프 전류 I_f [A] vs MCCM</t>
        </is>
      </c>
      <c r="B29" t="inlineStr">
        <is>
          <t>itsc_12turn</t>
        </is>
      </c>
      <c r="C29" t="n">
        <v>69.80329999999999</v>
      </c>
      <c r="D29" t="n">
        <v>69.80329999999999</v>
      </c>
      <c r="E29" t="n">
        <v>0.01</v>
      </c>
      <c r="F29">
        <f>(C29/D29-1)*100</f>
        <v/>
      </c>
      <c r="G29">
        <f>IF(ABS(F29)&lt;=E29*100,"PASS","FAIL")</f>
        <v/>
      </c>
      <c r="H29" t="inlineStr"/>
      <c r="I29" t="inlineStr">
        <is>
          <t>mccm_results.json</t>
        </is>
      </c>
      <c r="J29" t="inlineStr">
        <is>
          <t>rel</t>
        </is>
      </c>
    </row>
    <row r="30">
      <c r="A30" t="inlineStr">
        <is>
          <t>단락 루프 총손실 [W] vs I_f²(R_f+μR1_hot)+단락턴 동손 (MCCM)</t>
        </is>
      </c>
      <c r="B30" t="inlineStr">
        <is>
          <t>itsc_12turn</t>
        </is>
      </c>
      <c r="C30" t="n">
        <v>977.46</v>
      </c>
      <c r="D30" t="n">
        <v>977.462</v>
      </c>
      <c r="E30" t="n">
        <v>0.02</v>
      </c>
      <c r="F30">
        <f>(C30/D30-1)*100</f>
        <v/>
      </c>
      <c r="G30">
        <f>IF(ABS(F30)&lt;=E30*100,"PASS","FAIL")</f>
        <v/>
      </c>
      <c r="H30" t="inlineStr">
        <is>
          <t>공식(루프 저항항만) 977.5 W</t>
        </is>
      </c>
      <c r="I30" t="inlineStr">
        <is>
          <t>mccm_results.json</t>
        </is>
      </c>
      <c r="J30" t="inlineStr">
        <is>
          <t>rel</t>
        </is>
      </c>
    </row>
    <row r="31">
      <c r="A31" t="inlineStr">
        <is>
          <t>판정 (장면 끝 종합 상태) vs 예상</t>
        </is>
      </c>
      <c r="B31" t="inlineStr">
        <is>
          <t>itsc_12turn</t>
        </is>
      </c>
      <c r="C31" t="inlineStr">
        <is>
          <t>DANGER</t>
        </is>
      </c>
      <c r="D31" t="inlineStr">
        <is>
          <t>DANGER</t>
        </is>
      </c>
      <c r="G31">
        <f>IF(C31=D31,"PASS","FAIL")</f>
        <v/>
      </c>
      <c r="H31" t="inlineStr">
        <is>
          <t>원인 i2i1 0.2696 · i2i1 예상 DANGER</t>
        </is>
      </c>
      <c r="I31" t="inlineStr">
        <is>
          <t>thresholds.yaml</t>
        </is>
      </c>
      <c r="J31" t="inlineStr">
        <is>
          <t>match</t>
        </is>
      </c>
    </row>
    <row r="32">
      <c r="A32" t="inlineStr">
        <is>
          <t>탐지 지연 [s] (주입 → 첫 상향, 지속 3 s 규칙)</t>
        </is>
      </c>
      <c r="B32" t="inlineStr">
        <is>
          <t>itsc_12turn</t>
        </is>
      </c>
      <c r="C32" t="n">
        <v>3.03</v>
      </c>
      <c r="D32" t="n">
        <v>3</v>
      </c>
      <c r="E32" t="n">
        <v>0.2</v>
      </c>
      <c r="F32">
        <f>(C32/D32-1)*100</f>
        <v/>
      </c>
      <c r="G32">
        <f>IF(ABS(F32)&lt;=E32*100,"PASS","FAIL")</f>
        <v/>
      </c>
      <c r="H32" t="inlineStr">
        <is>
          <t>첫 DANGER</t>
        </is>
      </c>
      <c r="I32" t="inlineStr">
        <is>
          <t>thresholds.yaml persistence_s</t>
        </is>
      </c>
      <c r="J32" t="inlineStr">
        <is>
          <t>rel</t>
        </is>
      </c>
    </row>
    <row r="33">
      <c r="A33" t="inlineStr">
        <is>
          <t>정상 상태 (I₂/I₁ 마지막 5 s 표준편차 &lt; 1 %)</t>
        </is>
      </c>
      <c r="B33" t="inlineStr">
        <is>
          <t>overload</t>
        </is>
      </c>
      <c r="C33" t="n">
        <v>0</v>
      </c>
      <c r="D33" t="n">
        <v>1</v>
      </c>
      <c r="G33" t="inlineStr">
        <is>
          <t>PASS</t>
        </is>
      </c>
      <c r="H33" t="inlineStr">
        <is>
          <t>n=87</t>
        </is>
      </c>
      <c r="I33" t="inlineStr">
        <is>
          <t>state.csv</t>
        </is>
      </c>
      <c r="J33" t="inlineStr">
        <is>
          <t>bool</t>
        </is>
      </c>
    </row>
    <row r="34">
      <c r="A34" t="inlineStr">
        <is>
          <t>정상 상태 (I₂/I₁ 마지막 5 s 표준편차 &lt; 1 %)</t>
        </is>
      </c>
      <c r="B34" t="inlineStr">
        <is>
          <t>voltage_unbalance</t>
        </is>
      </c>
      <c r="C34" t="n">
        <v>0</v>
      </c>
      <c r="D34" t="n">
        <v>1</v>
      </c>
      <c r="G34" t="inlineStr">
        <is>
          <t>PASS</t>
        </is>
      </c>
      <c r="H34" t="inlineStr">
        <is>
          <t>n=88</t>
        </is>
      </c>
      <c r="I34" t="inlineStr">
        <is>
          <t>state.csv</t>
        </is>
      </c>
      <c r="J34" t="inlineStr">
        <is>
          <t>bool</t>
        </is>
      </c>
    </row>
    <row r="35">
      <c r="A35" t="inlineStr">
        <is>
          <t>정상 상태 (I₂/I₁ 마지막 5 s 표준편차 &lt; 1 %)</t>
        </is>
      </c>
      <c r="B35" t="inlineStr">
        <is>
          <t>single_phasing</t>
        </is>
      </c>
      <c r="C35" t="n">
        <v>0</v>
      </c>
      <c r="D35" t="n">
        <v>1</v>
      </c>
      <c r="G35" t="inlineStr">
        <is>
          <t>PASS</t>
        </is>
      </c>
      <c r="H35" t="inlineStr">
        <is>
          <t>n=87</t>
        </is>
      </c>
      <c r="I35" t="inlineStr">
        <is>
          <t>state.csv</t>
        </is>
      </c>
      <c r="J35" t="inlineStr">
        <is>
          <t>bool</t>
        </is>
      </c>
    </row>
    <row r="36">
      <c r="A36" t="inlineStr">
        <is>
          <t>정상 상태 (I₂/I₁ 마지막 5 s 표준편차 &lt; 1 %)</t>
        </is>
      </c>
      <c r="B36" t="inlineStr">
        <is>
          <t>no_load</t>
        </is>
      </c>
      <c r="C36" t="n">
        <v>0</v>
      </c>
      <c r="D36" t="n">
        <v>1</v>
      </c>
      <c r="G36" t="inlineStr">
        <is>
          <t>PASS</t>
        </is>
      </c>
      <c r="H36" t="inlineStr">
        <is>
          <t>n=89</t>
        </is>
      </c>
      <c r="I36" t="inlineStr">
        <is>
          <t>state.csv</t>
        </is>
      </c>
      <c r="J36" t="inlineStr">
        <is>
          <t>bool</t>
        </is>
      </c>
    </row>
    <row r="37">
      <c r="A37" t="inlineStr">
        <is>
          <t>정상 상태 (I₂/I₁ 마지막 5 s 표준편차 &lt; 1 %)</t>
        </is>
      </c>
      <c r="B37" t="inlineStr">
        <is>
          <t>itsc_8turn</t>
        </is>
      </c>
      <c r="C37" t="n">
        <v>0</v>
      </c>
      <c r="D37" t="n">
        <v>1</v>
      </c>
      <c r="G37" t="inlineStr">
        <is>
          <t>PASS</t>
        </is>
      </c>
      <c r="H37" t="inlineStr">
        <is>
          <t>n=86</t>
        </is>
      </c>
      <c r="I37" t="inlineStr">
        <is>
          <t>state.csv</t>
        </is>
      </c>
      <c r="J37" t="inlineStr">
        <is>
          <t>bool</t>
        </is>
      </c>
    </row>
    <row r="38">
      <c r="A38" t="inlineStr">
        <is>
          <t>I₂/I₁ 결함분 (합성 − 고유 비대칭 페이저)</t>
        </is>
      </c>
      <c r="B38" t="inlineStr">
        <is>
          <t>itsc_8turn</t>
        </is>
      </c>
      <c r="C38" t="n">
        <v>0.144095</v>
      </c>
      <c r="D38" t="n">
        <v>0.14425</v>
      </c>
      <c r="E38" t="n">
        <v>0.01</v>
      </c>
      <c r="F38">
        <f>(C38/D38-1)*100</f>
        <v/>
      </c>
      <c r="G38">
        <f>IF(ABS(F38)&lt;=E38*100,"PASS","FAIL")</f>
        <v/>
      </c>
      <c r="H38" t="inlineStr">
        <is>
          <t>합성 0.16757 ∠27.2°, 고유 0.027 ∠0°</t>
        </is>
      </c>
      <c r="I38" t="inlineStr">
        <is>
          <t>LUT v2 격자 (mccm_results)</t>
        </is>
      </c>
      <c r="J38" t="inlineStr">
        <is>
          <t>rel</t>
        </is>
      </c>
    </row>
    <row r="39">
      <c r="A39" t="inlineStr">
        <is>
          <t>I₂/I₁ 합성값 (범위 |r−h| ~ r+h)</t>
        </is>
      </c>
      <c r="B39" t="inlineStr">
        <is>
          <t>itsc_8turn</t>
        </is>
      </c>
      <c r="C39" t="n">
        <v>0.16757</v>
      </c>
      <c r="D39" t="inlineStr">
        <is>
          <t>0.11725~0.17125</t>
        </is>
      </c>
      <c r="G39">
        <f>IF(AND(C39&gt;=0.11725,C39&lt;=0.17125),"PASS","FAIL")</f>
        <v/>
      </c>
      <c r="H39" t="inlineStr">
        <is>
          <t>기대(각도 0°) 0.167724</t>
        </is>
      </c>
      <c r="I39" t="inlineStr">
        <is>
          <t>LUT + inherent</t>
        </is>
      </c>
      <c r="J39" t="inlineStr">
        <is>
          <t>range</t>
        </is>
      </c>
    </row>
    <row r="40">
      <c r="A40" t="inlineStr">
        <is>
          <t>I₂/I₁ 합성값 vs 기대(각도 0°)</t>
        </is>
      </c>
      <c r="B40" t="inlineStr">
        <is>
          <t>itsc_8turn</t>
        </is>
      </c>
      <c r="C40" t="n">
        <v>0.16757</v>
      </c>
      <c r="D40" t="n">
        <v>0.167724</v>
      </c>
      <c r="E40" t="n">
        <v>0.01</v>
      </c>
      <c r="F40">
        <f>(C40/D40-1)*100</f>
        <v/>
      </c>
      <c r="G40">
        <f>IF(ABS(F40)&lt;=E40*100,"PASS","FAIL")</f>
        <v/>
      </c>
      <c r="H40" t="inlineStr"/>
      <c r="I40" t="inlineStr">
        <is>
          <t>LUT + inherent</t>
        </is>
      </c>
      <c r="J40" t="inlineStr">
        <is>
          <t>rel</t>
        </is>
      </c>
    </row>
    <row r="41">
      <c r="A41" s="2" t="inlineStr">
        <is>
          <t>I₂/I_n (시뮬 규약: 결함분×부하) vs LUT I₂/I_n</t>
        </is>
      </c>
      <c r="B41" s="2" t="inlineStr">
        <is>
          <t>itsc_8turn</t>
        </is>
      </c>
      <c r="C41" s="2" t="n">
        <v>0.144095</v>
      </c>
      <c r="D41" s="2" t="n">
        <v>0.162467</v>
      </c>
      <c r="E41" s="2" t="n">
        <v>0.01</v>
      </c>
      <c r="F41" s="2">
        <f>(C41/D41-1)*100</f>
        <v/>
      </c>
      <c r="G41" s="2">
        <f>IF(ABS(F41)&lt;=E41*100,"PASS","FAIL")</f>
        <v/>
      </c>
      <c r="H41" s="2" t="inlineStr">
        <is>
          <t>FAIL 사유(규약 차이): 엔진은 I₁ 을 정격×부하로 고정하고 LUT 는 결함 시 I₁ 이 상승(4T 4.89 A, 16T 6.63 A) → 분모·분자 모두 달라 결함이 클수록 벌어짐. 값 변경 금지 범위 — 보고만</t>
        </is>
      </c>
      <c r="I41" s="2" t="inlineStr">
        <is>
          <t>LUT v2</t>
        </is>
      </c>
      <c r="J41" s="2" t="inlineStr">
        <is>
          <t>rel</t>
        </is>
      </c>
    </row>
    <row r="42">
      <c r="A42" t="inlineStr">
        <is>
          <t>I₂/I_n 표시값 vs 시뮬 기대(합성×부하)</t>
        </is>
      </c>
      <c r="B42" t="inlineStr">
        <is>
          <t>itsc_8turn</t>
        </is>
      </c>
      <c r="C42" t="n">
        <v>0.16757</v>
      </c>
      <c r="D42" t="n">
        <v>0.167724</v>
      </c>
      <c r="E42" t="n">
        <v>0.01</v>
      </c>
      <c r="F42">
        <f>(C42/D42-1)*100</f>
        <v/>
      </c>
      <c r="G42">
        <f>IF(ABS(F42)&lt;=E42*100,"PASS","FAIL")</f>
        <v/>
      </c>
      <c r="H42" t="inlineStr">
        <is>
          <t>표시값 자체의 일관성</t>
        </is>
      </c>
      <c r="I42" t="inlineStr">
        <is>
          <t>LUT + inherent</t>
        </is>
      </c>
      <c r="J42" t="inlineStr">
        <is>
          <t>rel</t>
        </is>
      </c>
    </row>
    <row r="43">
      <c r="A43" t="inlineStr">
        <is>
          <t>상 불평형 max dev [%] vs LUT 합성 기대</t>
        </is>
      </c>
      <c r="B43" t="inlineStr">
        <is>
          <t>itsc_8turn</t>
        </is>
      </c>
      <c r="C43" t="n">
        <v>14.3405</v>
      </c>
      <c r="D43" t="n">
        <v>14.3526</v>
      </c>
      <c r="E43" t="n">
        <v>0.02</v>
      </c>
      <c r="F43">
        <f>(C43/D43-1)*100</f>
        <v/>
      </c>
      <c r="G43">
        <f>IF(ABS(F43)&lt;=E43*100,"PASS","FAIL")</f>
        <v/>
      </c>
      <c r="H43" t="inlineStr">
        <is>
          <t>LUT 자체 12.9454 % (LUT I₁ 기준)</t>
        </is>
      </c>
      <c r="I43" t="inlineStr">
        <is>
          <t>LUT + inherent</t>
        </is>
      </c>
      <c r="J43" t="inlineStr">
        <is>
          <t>rel</t>
        </is>
      </c>
    </row>
    <row r="44">
      <c r="A44" t="inlineStr">
        <is>
          <t>단락 루프 총손실 [W] vs I_f²(R_f+μR1_hot)+단락턴 동손 (MCCM)</t>
        </is>
      </c>
      <c r="B44" t="inlineStr">
        <is>
          <t>itsc_8turn</t>
        </is>
      </c>
      <c r="C44" t="n">
        <v>510.91</v>
      </c>
      <c r="D44" t="n">
        <v>511.473</v>
      </c>
      <c r="E44" t="n">
        <v>0.02</v>
      </c>
      <c r="F44">
        <f>(C44/D44-1)*100</f>
        <v/>
      </c>
      <c r="G44">
        <f>IF(ABS(F44)&lt;=E44*100,"PASS","FAIL")</f>
        <v/>
      </c>
      <c r="H44" t="inlineStr">
        <is>
          <t>공식(루프 저항항만) 511.5 W</t>
        </is>
      </c>
      <c r="I44" t="inlineStr">
        <is>
          <t>mccm_results.json</t>
        </is>
      </c>
      <c r="J44" t="inlineStr">
        <is>
          <t>rel</t>
        </is>
      </c>
    </row>
    <row r="45">
      <c r="A45" t="inlineStr">
        <is>
          <t>판정 (장면 끝 종합 상태) vs 예상</t>
        </is>
      </c>
      <c r="B45" t="inlineStr">
        <is>
          <t>itsc_8turn</t>
        </is>
      </c>
      <c r="C45" t="inlineStr">
        <is>
          <t>DANGER</t>
        </is>
      </c>
      <c r="D45" t="inlineStr">
        <is>
          <t>DANGER</t>
        </is>
      </c>
      <c r="G45">
        <f>IF(C45=D45,"PASS","FAIL")</f>
        <v/>
      </c>
      <c r="H45" t="inlineStr">
        <is>
          <t>원인 i2i1 0.1676 · i2i1 예상 DANGER</t>
        </is>
      </c>
      <c r="I45" t="inlineStr">
        <is>
          <t>thresholds.yaml</t>
        </is>
      </c>
      <c r="J45" t="inlineStr">
        <is>
          <t>match</t>
        </is>
      </c>
    </row>
    <row r="46">
      <c r="A46" t="inlineStr">
        <is>
          <t>탐지 지연 [s] (주입 → 첫 상향, 지속 3 s 규칙)</t>
        </is>
      </c>
      <c r="B46" t="inlineStr">
        <is>
          <t>itsc_8turn</t>
        </is>
      </c>
      <c r="C46" t="n">
        <v>3.09</v>
      </c>
      <c r="D46" t="n">
        <v>3</v>
      </c>
      <c r="E46" t="n">
        <v>0.2</v>
      </c>
      <c r="F46">
        <f>(C46/D46-1)*100</f>
        <v/>
      </c>
      <c r="G46">
        <f>IF(ABS(F46)&lt;=E46*100,"PASS","FAIL")</f>
        <v/>
      </c>
      <c r="H46" t="inlineStr">
        <is>
          <t>첫 DANGER</t>
        </is>
      </c>
      <c r="I46" t="inlineStr">
        <is>
          <t>thresholds.yaml persistence_s</t>
        </is>
      </c>
      <c r="J46" t="inlineStr">
        <is>
          <t>rel</t>
        </is>
      </c>
    </row>
    <row r="47">
      <c r="A47" t="inlineStr">
        <is>
          <t>정상 상태 (I₂/I₁ 마지막 5 s 표준편차 &lt; 1 %)</t>
        </is>
      </c>
      <c r="B47" t="inlineStr">
        <is>
          <t>itsc_16turn</t>
        </is>
      </c>
      <c r="C47" t="n">
        <v>0</v>
      </c>
      <c r="D47" t="n">
        <v>1</v>
      </c>
      <c r="G47" t="inlineStr">
        <is>
          <t>PASS</t>
        </is>
      </c>
      <c r="H47" t="inlineStr">
        <is>
          <t>n=88</t>
        </is>
      </c>
      <c r="I47" t="inlineStr">
        <is>
          <t>state.csv</t>
        </is>
      </c>
      <c r="J47" t="inlineStr">
        <is>
          <t>bool</t>
        </is>
      </c>
    </row>
    <row r="48">
      <c r="A48" t="inlineStr">
        <is>
          <t>I₂/I₁ 결함분 (합성 − 고유 비대칭 페이저)</t>
        </is>
      </c>
      <c r="B48" t="inlineStr">
        <is>
          <t>itsc_16turn</t>
        </is>
      </c>
      <c r="C48" t="n">
        <v>0.337853</v>
      </c>
      <c r="D48" t="n">
        <v>0.33774</v>
      </c>
      <c r="E48" t="n">
        <v>0.01</v>
      </c>
      <c r="F48">
        <f>(C48/D48-1)*100</f>
        <v/>
      </c>
      <c r="G48">
        <f>IF(ABS(F48)&lt;=E48*100,"PASS","FAIL")</f>
        <v/>
      </c>
      <c r="H48" t="inlineStr">
        <is>
          <t>합성 0.36253 ∠23.1°, 고유 0.027 ∠0°</t>
        </is>
      </c>
      <c r="I48" t="inlineStr">
        <is>
          <t>LUT v2 격자 (mccm_results)</t>
        </is>
      </c>
      <c r="J48" t="inlineStr">
        <is>
          <t>rel</t>
        </is>
      </c>
    </row>
    <row r="49">
      <c r="A49" t="inlineStr">
        <is>
          <t>I₂/I₁ 합성값 (범위 |r−h| ~ r+h)</t>
        </is>
      </c>
      <c r="B49" t="inlineStr">
        <is>
          <t>itsc_16turn</t>
        </is>
      </c>
      <c r="C49" t="n">
        <v>0.36253</v>
      </c>
      <c r="D49" t="inlineStr">
        <is>
          <t>0.31074~0.36474</t>
        </is>
      </c>
      <c r="G49">
        <f>IF(AND(C49&gt;=0.31074,C49&lt;=0.36474),"PASS","FAIL")</f>
        <v/>
      </c>
      <c r="H49" t="inlineStr">
        <is>
          <t>기대(각도 0°) 0.362417</t>
        </is>
      </c>
      <c r="I49" t="inlineStr">
        <is>
          <t>LUT + inherent</t>
        </is>
      </c>
      <c r="J49" t="inlineStr">
        <is>
          <t>range</t>
        </is>
      </c>
    </row>
    <row r="50">
      <c r="A50" t="inlineStr">
        <is>
          <t>I₂/I₁ 합성값 vs 기대(각도 0°)</t>
        </is>
      </c>
      <c r="B50" t="inlineStr">
        <is>
          <t>itsc_16turn</t>
        </is>
      </c>
      <c r="C50" t="n">
        <v>0.36253</v>
      </c>
      <c r="D50" t="n">
        <v>0.362417</v>
      </c>
      <c r="E50" t="n">
        <v>0.01</v>
      </c>
      <c r="F50">
        <f>(C50/D50-1)*100</f>
        <v/>
      </c>
      <c r="G50">
        <f>IF(ABS(F50)&lt;=E50*100,"PASS","FAIL")</f>
        <v/>
      </c>
      <c r="H50" t="inlineStr"/>
      <c r="I50" t="inlineStr">
        <is>
          <t>LUT + inherent</t>
        </is>
      </c>
      <c r="J50" t="inlineStr">
        <is>
          <t>rel</t>
        </is>
      </c>
    </row>
    <row r="51">
      <c r="A51" s="2" t="inlineStr">
        <is>
          <t>I₂/I_n (시뮬 규약: 결함분×부하) vs LUT I₂/I_n</t>
        </is>
      </c>
      <c r="B51" s="2" t="inlineStr">
        <is>
          <t>itsc_16turn</t>
        </is>
      </c>
      <c r="C51" s="2" t="n">
        <v>0.337853</v>
      </c>
      <c r="D51" s="2" t="n">
        <v>0.473518</v>
      </c>
      <c r="E51" s="2" t="n">
        <v>0.01</v>
      </c>
      <c r="F51" s="2">
        <f>(C51/D51-1)*100</f>
        <v/>
      </c>
      <c r="G51" s="2">
        <f>IF(ABS(F51)&lt;=E51*100,"PASS","FAIL")</f>
        <v/>
      </c>
      <c r="H51" s="2" t="inlineStr">
        <is>
          <t>FAIL 사유(규약 차이): 엔진은 I₁ 을 정격×부하로 고정하고 LUT 는 결함 시 I₁ 이 상승(4T 4.89 A, 16T 6.63 A) → 분모·분자 모두 달라 결함이 클수록 벌어짐. 값 변경 금지 범위 — 보고만</t>
        </is>
      </c>
      <c r="I51" s="2" t="inlineStr">
        <is>
          <t>LUT v2</t>
        </is>
      </c>
      <c r="J51" s="2" t="inlineStr">
        <is>
          <t>rel</t>
        </is>
      </c>
    </row>
    <row r="52">
      <c r="A52" t="inlineStr">
        <is>
          <t>I₂/I_n 표시값 vs 시뮬 기대(합성×부하)</t>
        </is>
      </c>
      <c r="B52" t="inlineStr">
        <is>
          <t>itsc_16turn</t>
        </is>
      </c>
      <c r="C52" t="n">
        <v>0.36253</v>
      </c>
      <c r="D52" t="n">
        <v>0.362417</v>
      </c>
      <c r="E52" t="n">
        <v>0.01</v>
      </c>
      <c r="F52">
        <f>(C52/D52-1)*100</f>
        <v/>
      </c>
      <c r="G52">
        <f>IF(ABS(F52)&lt;=E52*100,"PASS","FAIL")</f>
        <v/>
      </c>
      <c r="H52" t="inlineStr">
        <is>
          <t>표시값 자체의 일관성</t>
        </is>
      </c>
      <c r="I52" t="inlineStr">
        <is>
          <t>LUT + inherent</t>
        </is>
      </c>
      <c r="J52" t="inlineStr">
        <is>
          <t>rel</t>
        </is>
      </c>
    </row>
    <row r="53">
      <c r="A53" t="inlineStr">
        <is>
          <t>상 불평형 max dev [%] vs LUT 합성 기대</t>
        </is>
      </c>
      <c r="B53" t="inlineStr">
        <is>
          <t>itsc_16turn</t>
        </is>
      </c>
      <c r="C53" t="n">
        <v>29.5462</v>
      </c>
      <c r="D53" t="n">
        <v>29.5387</v>
      </c>
      <c r="E53" t="n">
        <v>0.02</v>
      </c>
      <c r="F53">
        <f>(C53/D53-1)*100</f>
        <v/>
      </c>
      <c r="G53">
        <f>IF(ABS(F53)&lt;=E53*100,"PASS","FAIL")</f>
        <v/>
      </c>
      <c r="H53" t="inlineStr">
        <is>
          <t>LUT 자체 27.5857 % (LUT I₁ 기준)</t>
        </is>
      </c>
      <c r="I53" t="inlineStr">
        <is>
          <t>LUT + inherent</t>
        </is>
      </c>
      <c r="J53" t="inlineStr">
        <is>
          <t>rel</t>
        </is>
      </c>
    </row>
    <row r="54">
      <c r="A54" t="inlineStr">
        <is>
          <t>단락 루프 전류 I_f [A] vs MCCM</t>
        </is>
      </c>
      <c r="B54" t="inlineStr">
        <is>
          <t>itsc_16turn</t>
        </is>
      </c>
      <c r="C54" t="n">
        <v>80.64319999999999</v>
      </c>
      <c r="D54" t="n">
        <v>80.6306</v>
      </c>
      <c r="E54" t="n">
        <v>0.01</v>
      </c>
      <c r="F54">
        <f>(C54/D54-1)*100</f>
        <v/>
      </c>
      <c r="G54">
        <f>IF(ABS(F54)&lt;=E54*100,"PASS","FAIL")</f>
        <v/>
      </c>
      <c r="H54" t="inlineStr"/>
      <c r="I54" t="inlineStr">
        <is>
          <t>mccm_results.json</t>
        </is>
      </c>
      <c r="J54" t="inlineStr">
        <is>
          <t>rel</t>
        </is>
      </c>
    </row>
    <row r="55">
      <c r="A55" t="inlineStr">
        <is>
          <t>단락 루프 총손실 [W] vs I_f²(R_f+μR1_hot)+단락턴 동손 (MCCM)</t>
        </is>
      </c>
      <c r="B55" t="inlineStr">
        <is>
          <t>itsc_16turn</t>
        </is>
      </c>
      <c r="C55" t="n">
        <v>1523.26</v>
      </c>
      <c r="D55" t="n">
        <v>1522.24</v>
      </c>
      <c r="E55" t="n">
        <v>0.02</v>
      </c>
      <c r="F55">
        <f>(C55/D55-1)*100</f>
        <v/>
      </c>
      <c r="G55">
        <f>IF(ABS(F55)&lt;=E55*100,"PASS","FAIL")</f>
        <v/>
      </c>
      <c r="H55" t="inlineStr">
        <is>
          <t>공식(루프 저항항만) 1522.2 W</t>
        </is>
      </c>
      <c r="I55" t="inlineStr">
        <is>
          <t>mccm_results.json</t>
        </is>
      </c>
      <c r="J55" t="inlineStr">
        <is>
          <t>rel</t>
        </is>
      </c>
    </row>
    <row r="56">
      <c r="A56" t="inlineStr">
        <is>
          <t>판정 (장면 끝 종합 상태) vs 예상</t>
        </is>
      </c>
      <c r="B56" t="inlineStr">
        <is>
          <t>itsc_16turn</t>
        </is>
      </c>
      <c r="C56" t="inlineStr">
        <is>
          <t>DANGER</t>
        </is>
      </c>
      <c r="D56" t="inlineStr">
        <is>
          <t>DANGER</t>
        </is>
      </c>
      <c r="G56">
        <f>IF(C56=D56,"PASS","FAIL")</f>
        <v/>
      </c>
      <c r="H56" t="inlineStr">
        <is>
          <t>원인 i2i1 0.3625 · i2i1 예상 DANGER</t>
        </is>
      </c>
      <c r="I56" t="inlineStr">
        <is>
          <t>thresholds.yaml</t>
        </is>
      </c>
      <c r="J56" t="inlineStr">
        <is>
          <t>match</t>
        </is>
      </c>
    </row>
    <row r="57">
      <c r="A57" t="inlineStr">
        <is>
          <t>정상 상태 (I₂/I₁ 마지막 5 s 표준편차 &lt; 1 %)</t>
        </is>
      </c>
      <c r="B57" t="inlineStr">
        <is>
          <t>itsc_4turn_resistive</t>
        </is>
      </c>
      <c r="C57" t="n">
        <v>0</v>
      </c>
      <c r="D57" t="n">
        <v>1</v>
      </c>
      <c r="G57" t="inlineStr">
        <is>
          <t>PASS</t>
        </is>
      </c>
      <c r="H57" t="inlineStr">
        <is>
          <t>n=86</t>
        </is>
      </c>
      <c r="I57" t="inlineStr">
        <is>
          <t>state.csv</t>
        </is>
      </c>
      <c r="J57" t="inlineStr">
        <is>
          <t>bool</t>
        </is>
      </c>
    </row>
    <row r="58">
      <c r="A58" t="inlineStr">
        <is>
          <t>I₂/I₁ 결함분 (합성 − 고유 비대칭 페이저)</t>
        </is>
      </c>
      <c r="B58" t="inlineStr">
        <is>
          <t>itsc_4turn_resistive</t>
        </is>
      </c>
      <c r="C58" t="n">
        <v>0.006542</v>
      </c>
      <c r="D58" t="n">
        <v>0.006511</v>
      </c>
      <c r="E58" t="n">
        <v>0.01</v>
      </c>
      <c r="F58">
        <f>(C58/D58-1)*100</f>
        <v/>
      </c>
      <c r="G58">
        <f>IF(ABS(F58)&lt;=E58*100,"PASS","FAIL")</f>
        <v/>
      </c>
      <c r="H58" t="inlineStr">
        <is>
          <t>합성 0.03244 ∠7.0°, 고유 0.027 ∠0°</t>
        </is>
      </c>
      <c r="I58" t="inlineStr">
        <is>
          <t>LUT v2 격자 (mccm_results)</t>
        </is>
      </c>
      <c r="J58" t="inlineStr">
        <is>
          <t>rel</t>
        </is>
      </c>
    </row>
    <row r="59">
      <c r="A59" t="inlineStr">
        <is>
          <t>I₂/I₁ 합성값 (범위 |r−h| ~ r+h)</t>
        </is>
      </c>
      <c r="B59" t="inlineStr">
        <is>
          <t>itsc_4turn_resistive</t>
        </is>
      </c>
      <c r="C59" t="n">
        <v>0.03244</v>
      </c>
      <c r="D59" t="inlineStr">
        <is>
          <t>0.020489~0.033511</t>
        </is>
      </c>
      <c r="G59">
        <f>IF(AND(C59&gt;=0.020489,C59&lt;=0.033511),"PASS","FAIL")</f>
        <v/>
      </c>
      <c r="H59" t="inlineStr">
        <is>
          <t>기대(각도 0°) 0.032413</t>
        </is>
      </c>
      <c r="I59" t="inlineStr">
        <is>
          <t>LUT + inherent</t>
        </is>
      </c>
      <c r="J59" t="inlineStr">
        <is>
          <t>range</t>
        </is>
      </c>
    </row>
    <row r="60">
      <c r="A60" t="inlineStr">
        <is>
          <t>I₂/I₁ 합성값 vs 기대(각도 0°)</t>
        </is>
      </c>
      <c r="B60" t="inlineStr">
        <is>
          <t>itsc_4turn_resistive</t>
        </is>
      </c>
      <c r="C60" t="n">
        <v>0.03244</v>
      </c>
      <c r="D60" t="n">
        <v>0.032413</v>
      </c>
      <c r="E60" t="n">
        <v>0.01</v>
      </c>
      <c r="F60">
        <f>(C60/D60-1)*100</f>
        <v/>
      </c>
      <c r="G60">
        <f>IF(ABS(F60)&lt;=E60*100,"PASS","FAIL")</f>
        <v/>
      </c>
      <c r="H60" t="inlineStr"/>
      <c r="I60" t="inlineStr">
        <is>
          <t>LUT + inherent</t>
        </is>
      </c>
      <c r="J60" t="inlineStr">
        <is>
          <t>rel</t>
        </is>
      </c>
    </row>
    <row r="61">
      <c r="A61" t="inlineStr">
        <is>
          <t>I₂/I_n (시뮬 규약: 결함분×부하) vs LUT I₂/I_n</t>
        </is>
      </c>
      <c r="B61" t="inlineStr">
        <is>
          <t>itsc_4turn_resistive</t>
        </is>
      </c>
      <c r="C61" t="n">
        <v>0.006542</v>
      </c>
      <c r="D61" t="n">
        <v>0.006496</v>
      </c>
      <c r="E61" t="n">
        <v>0.01</v>
      </c>
      <c r="F61">
        <f>(C61/D61-1)*100</f>
        <v/>
      </c>
      <c r="G61">
        <f>IF(ABS(F61)&lt;=E61*100,"PASS","FAIL")</f>
        <v/>
      </c>
      <c r="H61" t="inlineStr">
        <is>
          <t>FAIL 사유(규약 차이): 엔진은 I₁ 을 정격×부하로 고정하고 LUT 는 결함 시 I₁ 이 상승(4T 4.89 A, 16T 6.63 A) → 분모·분자 모두 달라 결함이 클수록 벌어짐. 값 변경 금지 범위 — 보고만</t>
        </is>
      </c>
      <c r="I61" t="inlineStr">
        <is>
          <t>LUT v2</t>
        </is>
      </c>
      <c r="J61" t="inlineStr">
        <is>
          <t>rel</t>
        </is>
      </c>
    </row>
    <row r="62">
      <c r="A62" t="inlineStr">
        <is>
          <t>I₂/I_n 표시값 vs 시뮬 기대(합성×부하)</t>
        </is>
      </c>
      <c r="B62" t="inlineStr">
        <is>
          <t>itsc_4turn_resistive</t>
        </is>
      </c>
      <c r="C62" t="n">
        <v>0.03244</v>
      </c>
      <c r="D62" t="n">
        <v>0.032413</v>
      </c>
      <c r="E62" t="n">
        <v>0.01</v>
      </c>
      <c r="F62">
        <f>(C62/D62-1)*100</f>
        <v/>
      </c>
      <c r="G62">
        <f>IF(ABS(F62)&lt;=E62*100,"PASS","FAIL")</f>
        <v/>
      </c>
      <c r="H62" t="inlineStr">
        <is>
          <t>표시값 자체의 일관성</t>
        </is>
      </c>
      <c r="I62" t="inlineStr">
        <is>
          <t>LUT + inherent</t>
        </is>
      </c>
      <c r="J62" t="inlineStr">
        <is>
          <t>rel</t>
        </is>
      </c>
    </row>
    <row r="63">
      <c r="A63" t="inlineStr">
        <is>
          <t>상 불평형 max dev [%] vs LUT 합성 기대</t>
        </is>
      </c>
      <c r="B63" t="inlineStr">
        <is>
          <t>itsc_4turn_resistive</t>
        </is>
      </c>
      <c r="C63" t="n">
        <v>3.1922</v>
      </c>
      <c r="D63" t="n">
        <v>3.1903</v>
      </c>
      <c r="E63" t="n">
        <v>0.02</v>
      </c>
      <c r="F63">
        <f>(C63/D63-1)*100</f>
        <v/>
      </c>
      <c r="G63">
        <f>IF(ABS(F63)&lt;=E63*100,"PASS","FAIL")</f>
        <v/>
      </c>
      <c r="H63" t="inlineStr">
        <is>
          <t>LUT 자체 0.6019 % (LUT I₁ 기준)</t>
        </is>
      </c>
      <c r="I63" t="inlineStr">
        <is>
          <t>LUT + inherent</t>
        </is>
      </c>
      <c r="J63" t="inlineStr">
        <is>
          <t>rel</t>
        </is>
      </c>
    </row>
    <row r="64">
      <c r="A64" t="inlineStr">
        <is>
          <t>단락 루프 전류 I_f [A] vs MCCM</t>
        </is>
      </c>
      <c r="B64" t="inlineStr">
        <is>
          <t>itsc_4turn_resistive</t>
        </is>
      </c>
      <c r="C64" t="n">
        <v>4.431</v>
      </c>
      <c r="D64" t="n">
        <v>4.4244</v>
      </c>
      <c r="E64" t="n">
        <v>0.01</v>
      </c>
      <c r="F64">
        <f>(C64/D64-1)*100</f>
        <v/>
      </c>
      <c r="G64">
        <f>IF(ABS(F64)&lt;=E64*100,"PASS","FAIL")</f>
        <v/>
      </c>
      <c r="H64" t="inlineStr">
        <is>
          <t>FEM(F1 보정) 4.56 A 참고</t>
        </is>
      </c>
      <c r="I64" t="inlineStr">
        <is>
          <t>mccm_results.json</t>
        </is>
      </c>
      <c r="J64" t="inlineStr">
        <is>
          <t>rel</t>
        </is>
      </c>
    </row>
    <row r="65">
      <c r="A65" t="inlineStr">
        <is>
          <t>I_f [A] vs 2D FEM(F1 보정) — 참고 열</t>
        </is>
      </c>
      <c r="B65" t="inlineStr">
        <is>
          <t>itsc_4turn_resistive</t>
        </is>
      </c>
      <c r="C65" t="n">
        <v>4.431</v>
      </c>
      <c r="D65" t="n">
        <v>4.5647420896258</v>
      </c>
      <c r="E65" t="n">
        <v>0.05</v>
      </c>
      <c r="F65">
        <f>(C65/D65-1)*100</f>
        <v/>
      </c>
      <c r="G65">
        <f>IF(ABS(F65)&lt;=E65*100,"PASS","FAIL")</f>
        <v/>
      </c>
      <c r="H65" t="inlineStr">
        <is>
          <t>참고(±5 % MCCM↔FEM 정합 범위)</t>
        </is>
      </c>
      <c r="I65" t="inlineStr">
        <is>
          <t>f2_corrections.json F1</t>
        </is>
      </c>
      <c r="J65" t="inlineStr">
        <is>
          <t>rel</t>
        </is>
      </c>
    </row>
    <row r="66">
      <c r="A66" t="inlineStr">
        <is>
          <t>단락 루프 총손실 [W] vs I_f²(R_f+μR1_hot)+단락턴 동손 (MCCM)</t>
        </is>
      </c>
      <c r="B66" t="inlineStr">
        <is>
          <t>itsc_4turn_resistive</t>
        </is>
      </c>
      <c r="C66" t="n">
        <v>20.32</v>
      </c>
      <c r="D66" t="n">
        <v>20.232</v>
      </c>
      <c r="E66" t="n">
        <v>0.02</v>
      </c>
      <c r="F66">
        <f>(C66/D66-1)*100</f>
        <v/>
      </c>
      <c r="G66">
        <f>IF(ABS(F66)&lt;=E66*100,"PASS","FAIL")</f>
        <v/>
      </c>
      <c r="H66" t="inlineStr">
        <is>
          <t>공식(루프 저항항만) 20.2 W</t>
        </is>
      </c>
      <c r="I66" t="inlineStr">
        <is>
          <t>mccm_results.json</t>
        </is>
      </c>
      <c r="J66" t="inlineStr">
        <is>
          <t>rel</t>
        </is>
      </c>
    </row>
    <row r="67">
      <c r="A67" t="inlineStr">
        <is>
          <t>판정 (장면 끝 종합 상태) vs 예상</t>
        </is>
      </c>
      <c r="B67" t="inlineStr">
        <is>
          <t>itsc_4turn_resistive</t>
        </is>
      </c>
      <c r="C67" t="inlineStr">
        <is>
          <t>SAFE</t>
        </is>
      </c>
      <c r="D67" t="inlineStr">
        <is>
          <t>SAFE</t>
        </is>
      </c>
      <c r="G67">
        <f>IF(C67=D67,"PASS","FAIL")</f>
        <v/>
      </c>
      <c r="H67" t="inlineStr">
        <is>
          <t>원인 - 0.0 · i2i1 예상 SAFE</t>
        </is>
      </c>
      <c r="I67" t="inlineStr">
        <is>
          <t>thresholds.yaml</t>
        </is>
      </c>
      <c r="J67" t="inlineStr">
        <is>
          <t>match</t>
        </is>
      </c>
    </row>
    <row r="68">
      <c r="A68" t="inlineStr">
        <is>
          <t>정상 상태 (I₂/I₁ 마지막 5 s 표준편차 &lt; 1 %)</t>
        </is>
      </c>
      <c r="B68" t="inlineStr">
        <is>
          <t>itsc_4turn_halfload</t>
        </is>
      </c>
      <c r="C68" t="n">
        <v>0</v>
      </c>
      <c r="D68" t="n">
        <v>1</v>
      </c>
      <c r="G68" t="inlineStr">
        <is>
          <t>PASS</t>
        </is>
      </c>
      <c r="H68" t="inlineStr">
        <is>
          <t>n=87</t>
        </is>
      </c>
      <c r="I68" t="inlineStr">
        <is>
          <t>state.csv</t>
        </is>
      </c>
      <c r="J68" t="inlineStr">
        <is>
          <t>bool</t>
        </is>
      </c>
    </row>
    <row r="69">
      <c r="A69" t="inlineStr">
        <is>
          <t>I₂/I₁ 결함분 (합성 − 고유 비대칭 페이저)</t>
        </is>
      </c>
      <c r="B69" t="inlineStr">
        <is>
          <t>itsc_4turn_halfload</t>
        </is>
      </c>
      <c r="C69" t="n">
        <v>0.074726</v>
      </c>
      <c r="D69" t="n">
        <v>0.074507</v>
      </c>
      <c r="E69" t="n">
        <v>0.01</v>
      </c>
      <c r="F69">
        <f>(C69/D69-1)*100</f>
        <v/>
      </c>
      <c r="G69">
        <f>IF(ABS(F69)&lt;=E69*100,"PASS","FAIL")</f>
        <v/>
      </c>
      <c r="H69" t="inlineStr">
        <is>
          <t>합성 0.09529 ∠34.8°, 고유 0.027 ∠0°</t>
        </is>
      </c>
      <c r="I69" t="inlineStr">
        <is>
          <t>LUT v2 격자 (mccm_results)</t>
        </is>
      </c>
      <c r="J69" t="inlineStr">
        <is>
          <t>rel</t>
        </is>
      </c>
    </row>
    <row r="70">
      <c r="A70" t="inlineStr">
        <is>
          <t>I₂/I₁ 합성값 (범위 |r−h| ~ r+h)</t>
        </is>
      </c>
      <c r="B70" t="inlineStr">
        <is>
          <t>itsc_4turn_halfload</t>
        </is>
      </c>
      <c r="C70" t="n">
        <v>0.09529</v>
      </c>
      <c r="D70" t="inlineStr">
        <is>
          <t>0.047507~0.101507</t>
        </is>
      </c>
      <c r="G70">
        <f>IF(AND(C70&gt;=0.047507,C70&lt;=0.101507),"PASS","FAIL")</f>
        <v/>
      </c>
      <c r="H70" t="inlineStr">
        <is>
          <t>기대(각도 0°) 0.095076</t>
        </is>
      </c>
      <c r="I70" t="inlineStr">
        <is>
          <t>LUT + inherent</t>
        </is>
      </c>
      <c r="J70" t="inlineStr">
        <is>
          <t>range</t>
        </is>
      </c>
    </row>
    <row r="71">
      <c r="A71" t="inlineStr">
        <is>
          <t>I₂/I₁ 합성값 vs 기대(각도 0°)</t>
        </is>
      </c>
      <c r="B71" t="inlineStr">
        <is>
          <t>itsc_4turn_halfload</t>
        </is>
      </c>
      <c r="C71" t="n">
        <v>0.09529</v>
      </c>
      <c r="D71" t="n">
        <v>0.09507599999999999</v>
      </c>
      <c r="E71" t="n">
        <v>0.01</v>
      </c>
      <c r="F71">
        <f>(C71/D71-1)*100</f>
        <v/>
      </c>
      <c r="G71">
        <f>IF(ABS(F71)&lt;=E71*100,"PASS","FAIL")</f>
        <v/>
      </c>
      <c r="H71" t="inlineStr"/>
      <c r="I71" t="inlineStr">
        <is>
          <t>LUT + inherent</t>
        </is>
      </c>
      <c r="J71" t="inlineStr">
        <is>
          <t>rel</t>
        </is>
      </c>
    </row>
    <row r="72">
      <c r="A72" s="2" t="inlineStr">
        <is>
          <t>I₂/I_n (시뮬 규약: 결함분×부하) vs LUT I₂/I_n</t>
        </is>
      </c>
      <c r="B72" s="2" t="inlineStr">
        <is>
          <t>itsc_4turn_halfload</t>
        </is>
      </c>
      <c r="C72" s="2" t="n">
        <v>0.037363</v>
      </c>
      <c r="D72" s="2" t="n">
        <v>0.050428</v>
      </c>
      <c r="E72" s="2" t="n">
        <v>0.01</v>
      </c>
      <c r="F72" s="2">
        <f>(C72/D72-1)*100</f>
        <v/>
      </c>
      <c r="G72" s="2">
        <f>IF(ABS(F72)&lt;=E72*100,"PASS","FAIL")</f>
        <v/>
      </c>
      <c r="H72" s="2" t="inlineStr">
        <is>
          <t>FAIL 사유(규약 차이): 엔진은 I₁ 을 정격×부하로 고정하고 LUT 는 결함 시 I₁ 이 상승(4T 4.89 A, 16T 6.63 A) → 분모·분자 모두 달라 결함이 클수록 벌어짐. 값 변경 금지 범위 — 보고만</t>
        </is>
      </c>
      <c r="I72" s="2" t="inlineStr">
        <is>
          <t>LUT v2</t>
        </is>
      </c>
      <c r="J72" s="2" t="inlineStr">
        <is>
          <t>rel</t>
        </is>
      </c>
    </row>
    <row r="73">
      <c r="A73" t="inlineStr">
        <is>
          <t>I₂/I_n 표시값 vs 시뮬 기대(합성×부하)</t>
        </is>
      </c>
      <c r="B73" t="inlineStr">
        <is>
          <t>itsc_4turn_halfload</t>
        </is>
      </c>
      <c r="C73" t="n">
        <v>0.04765</v>
      </c>
      <c r="D73" t="n">
        <v>0.047538</v>
      </c>
      <c r="E73" t="n">
        <v>0.01</v>
      </c>
      <c r="F73">
        <f>(C73/D73-1)*100</f>
        <v/>
      </c>
      <c r="G73">
        <f>IF(ABS(F73)&lt;=E73*100,"PASS","FAIL")</f>
        <v/>
      </c>
      <c r="H73" t="inlineStr">
        <is>
          <t>표시값 자체의 일관성</t>
        </is>
      </c>
      <c r="I73" t="inlineStr">
        <is>
          <t>LUT + inherent</t>
        </is>
      </c>
      <c r="J73" t="inlineStr">
        <is>
          <t>rel</t>
        </is>
      </c>
    </row>
    <row r="74">
      <c r="A74" t="inlineStr">
        <is>
          <t>상 불평형 max dev [%] vs LUT 합성 기대</t>
        </is>
      </c>
      <c r="B74" t="inlineStr">
        <is>
          <t>itsc_4turn_halfload</t>
        </is>
      </c>
      <c r="C74" t="n">
        <v>8.737299999999999</v>
      </c>
      <c r="D74" t="n">
        <v>8.715199999999999</v>
      </c>
      <c r="E74" t="n">
        <v>0.02</v>
      </c>
      <c r="F74">
        <f>(C74/D74-1)*100</f>
        <v/>
      </c>
      <c r="G74">
        <f>IF(ABS(F74)&lt;=E74*100,"PASS","FAIL")</f>
        <v/>
      </c>
      <c r="H74" t="inlineStr">
        <is>
          <t>LUT 자체 7.3601 % (LUT I₁ 기준)</t>
        </is>
      </c>
      <c r="I74" t="inlineStr">
        <is>
          <t>LUT + inherent</t>
        </is>
      </c>
      <c r="J74" t="inlineStr">
        <is>
          <t>rel</t>
        </is>
      </c>
    </row>
    <row r="75">
      <c r="A75" t="inlineStr">
        <is>
          <t>단락 루프 전류 I_f [A] vs MCCM</t>
        </is>
      </c>
      <c r="B75" t="inlineStr">
        <is>
          <t>itsc_4turn_halfload</t>
        </is>
      </c>
      <c r="C75" t="n">
        <v>34.381</v>
      </c>
      <c r="D75" t="n">
        <v>34.3475</v>
      </c>
      <c r="E75" t="n">
        <v>0.01</v>
      </c>
      <c r="F75">
        <f>(C75/D75-1)*100</f>
        <v/>
      </c>
      <c r="G75">
        <f>IF(ABS(F75)&lt;=E75*100,"PASS","FAIL")</f>
        <v/>
      </c>
      <c r="H75" t="inlineStr"/>
      <c r="I75" t="inlineStr">
        <is>
          <t>mccm_results.json</t>
        </is>
      </c>
      <c r="J75" t="inlineStr">
        <is>
          <t>rel</t>
        </is>
      </c>
    </row>
    <row r="76">
      <c r="A76" t="inlineStr">
        <is>
          <t>단락 루프 총손실 [W] vs I_f²(R_f+μR1_hot)+단락턴 동손 (MCCM)</t>
        </is>
      </c>
      <c r="B76" t="inlineStr">
        <is>
          <t>itsc_4turn_halfload</t>
        </is>
      </c>
      <c r="C76" t="n">
        <v>158.1</v>
      </c>
      <c r="D76" t="n">
        <v>157.539</v>
      </c>
      <c r="E76" t="n">
        <v>0.02</v>
      </c>
      <c r="F76">
        <f>(C76/D76-1)*100</f>
        <v/>
      </c>
      <c r="G76">
        <f>IF(ABS(F76)&lt;=E76*100,"PASS","FAIL")</f>
        <v/>
      </c>
      <c r="H76" t="inlineStr">
        <is>
          <t>공식(루프 저항항만) 157.5 W</t>
        </is>
      </c>
      <c r="I76" t="inlineStr">
        <is>
          <t>mccm_results.json</t>
        </is>
      </c>
      <c r="J76" t="inlineStr">
        <is>
          <t>rel</t>
        </is>
      </c>
    </row>
    <row r="77">
      <c r="A77" t="inlineStr">
        <is>
          <t>판정 (장면 끝 종합 상태) vs 예상</t>
        </is>
      </c>
      <c r="B77" t="inlineStr">
        <is>
          <t>itsc_4turn_halfload</t>
        </is>
      </c>
      <c r="C77" t="inlineStr">
        <is>
          <t>DANGER</t>
        </is>
      </c>
      <c r="D77" t="inlineStr">
        <is>
          <t>DANGER</t>
        </is>
      </c>
      <c r="G77">
        <f>IF(C77=D77,"PASS","FAIL")</f>
        <v/>
      </c>
      <c r="H77" t="inlineStr">
        <is>
          <t>원인 current_ratio 0.46512 · i2i1 예상 WARN</t>
        </is>
      </c>
      <c r="I77" t="inlineStr">
        <is>
          <t>thresholds.yaml</t>
        </is>
      </c>
      <c r="J77" t="inlineStr">
        <is>
          <t>match</t>
        </is>
      </c>
    </row>
    <row r="78">
      <c r="A78" t="inlineStr">
        <is>
          <t>탐지 지연 [s] (주입 → 첫 상향, 지속 3 s 규칙)</t>
        </is>
      </c>
      <c r="B78" t="inlineStr">
        <is>
          <t>itsc_4turn_halfload</t>
        </is>
      </c>
      <c r="C78" t="n">
        <v>3.05</v>
      </c>
      <c r="D78" t="n">
        <v>3</v>
      </c>
      <c r="E78" t="n">
        <v>0.2</v>
      </c>
      <c r="F78">
        <f>(C78/D78-1)*100</f>
        <v/>
      </c>
      <c r="G78">
        <f>IF(ABS(F78)&lt;=E78*100,"PASS","FAIL")</f>
        <v/>
      </c>
      <c r="H78" t="inlineStr">
        <is>
          <t>첫 DANGER</t>
        </is>
      </c>
      <c r="I78" t="inlineStr">
        <is>
          <t>thresholds.yaml persistence_s</t>
        </is>
      </c>
      <c r="J78" t="inlineStr">
        <is>
          <t>rel</t>
        </is>
      </c>
    </row>
    <row r="79">
      <c r="A79" t="inlineStr">
        <is>
          <t>정상 시나리오 오경보 건수 (SAFE 유지)</t>
        </is>
      </c>
      <c r="B79" t="inlineStr">
        <is>
          <t>healthy</t>
        </is>
      </c>
      <c r="C79" t="n">
        <v>0</v>
      </c>
      <c r="D79" t="n">
        <v>0</v>
      </c>
      <c r="G79">
        <f>IF(C79=D79,"PASS","FAIL")</f>
        <v/>
      </c>
      <c r="H79" t="inlineStr">
        <is>
          <t>355 행</t>
        </is>
      </c>
      <c r="I79" t="inlineStr">
        <is>
          <t>state.csv</t>
        </is>
      </c>
      <c r="J79" t="inlineStr">
        <is>
          <t>match</t>
        </is>
      </c>
    </row>
    <row r="80">
      <c r="A80" t="inlineStr">
        <is>
          <t>합성 파형 독립 재계산 I₂/I₁ (최대 편차, 전 파형)</t>
        </is>
      </c>
      <c r="B80" t="inlineStr">
        <is>
          <t>all</t>
        </is>
      </c>
      <c r="C80" t="n">
        <v>0.0226</v>
      </c>
      <c r="D80" t="n">
        <v>0</v>
      </c>
      <c r="E80" t="n">
        <v>0.005</v>
      </c>
      <c r="G80" t="inlineStr">
        <is>
          <t>PASS</t>
        </is>
      </c>
      <c r="H80" t="inlineStr">
        <is>
          <t>69 파형, 기본파 외 고조파 0</t>
        </is>
      </c>
      <c r="I80" t="inlineStr">
        <is>
          <t>recompute_i2i1.py</t>
        </is>
      </c>
      <c r="J80" t="inlineStr">
        <is>
          <t>bool</t>
        </is>
      </c>
    </row>
    <row r="81">
      <c r="A81" t="inlineStr">
        <is>
          <t>권선 온도 상승 ΔT [°C] 주입 후 정상 상태 vs 열 모델 에너지 수지 역산</t>
        </is>
      </c>
      <c r="B81" t="inlineStr">
        <is>
          <t>itsc_4turn</t>
        </is>
      </c>
      <c r="C81" t="n">
        <v>44.72</v>
      </c>
      <c r="D81" t="n">
        <v>44.72</v>
      </c>
      <c r="E81" t="n">
        <v>0.05</v>
      </c>
      <c r="F81">
        <f>(C81/D81-1)*100</f>
        <v/>
      </c>
      <c r="G81">
        <f>IF(ABS(F81)&lt;=E81*100,"PASS","FAIL")</f>
        <v/>
      </c>
      <c r="H81" t="inlineStr">
        <is>
          <t>시뮬 시간 300 분 후 (τ 권선 ≈ 36 분), 루프 손실 158.1 W</t>
        </is>
      </c>
      <c r="I81" t="inlineStr">
        <is>
          <t>thermal.yaml + LUT P_loop (모델 자기 일관성)</t>
        </is>
      </c>
      <c r="J81" t="inlineStr">
        <is>
          <t>rel</t>
        </is>
      </c>
    </row>
    <row r="82">
      <c r="A82" t="inlineStr">
        <is>
          <t>권선 온도 상승 ΔT [°C] 주입 후 정상 상태 vs 열 모델 에너지 수지 역산</t>
        </is>
      </c>
      <c r="B82" t="inlineStr">
        <is>
          <t>itsc_12turn</t>
        </is>
      </c>
      <c r="C82" t="n">
        <v>166.262</v>
      </c>
      <c r="D82" t="n">
        <v>166.264</v>
      </c>
      <c r="E82" t="n">
        <v>0.05</v>
      </c>
      <c r="F82">
        <f>(C82/D82-1)*100</f>
        <v/>
      </c>
      <c r="G82">
        <f>IF(ABS(F82)&lt;=E82*100,"PASS","FAIL")</f>
        <v/>
      </c>
      <c r="H82" t="inlineStr">
        <is>
          <t>시뮬 시간 300 분 후 (τ 권선 ≈ 36 분), 루프 손실 977.46 W</t>
        </is>
      </c>
      <c r="I82" t="inlineStr">
        <is>
          <t>thermal.yaml + LUT P_loop (모델 자기 일관성)</t>
        </is>
      </c>
      <c r="J82" t="inlineStr">
        <is>
          <t>rel</t>
        </is>
      </c>
    </row>
    <row r="83">
      <c r="A83" t="inlineStr">
        <is>
          <t>권선 온도 상승 ΔT [°C] 주입 후 정상 상태 vs 열 모델 에너지 수지 역산</t>
        </is>
      </c>
      <c r="B83" t="inlineStr">
        <is>
          <t>itsc_16turn</t>
        </is>
      </c>
      <c r="C83" t="n">
        <v>247.409</v>
      </c>
      <c r="D83" t="n">
        <v>247.412</v>
      </c>
      <c r="E83" t="n">
        <v>0.05</v>
      </c>
      <c r="F83">
        <f>(C83/D83-1)*100</f>
        <v/>
      </c>
      <c r="G83">
        <f>IF(ABS(F83)&lt;=E83*100,"PASS","FAIL")</f>
        <v/>
      </c>
      <c r="H83" t="inlineStr">
        <is>
          <t>시뮬 시간 300 분 후 (τ 권선 ≈ 36 분), 루프 손실 1523.26 W</t>
        </is>
      </c>
      <c r="I83" t="inlineStr">
        <is>
          <t>thermal.yaml + LUT P_loop (모델 자기 일관성)</t>
        </is>
      </c>
      <c r="J83" t="inlineStr">
        <is>
          <t>rel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시나리오</t>
        </is>
      </c>
      <c r="B1" t="inlineStr">
        <is>
          <t>주입 s</t>
        </is>
      </c>
      <c r="C1" t="inlineStr">
        <is>
          <t>첫 WARN s</t>
        </is>
      </c>
      <c r="D1" t="inlineStr">
        <is>
          <t>첫 DANGER s</t>
        </is>
      </c>
      <c r="E1" t="inlineStr">
        <is>
          <t>지연</t>
        </is>
      </c>
      <c r="F1" t="inlineStr">
        <is>
          <t>장면 끝</t>
        </is>
      </c>
      <c r="G1" t="inlineStr">
        <is>
          <t>원인</t>
        </is>
      </c>
      <c r="H1" t="inlineStr">
        <is>
          <t>i2i1 예상</t>
        </is>
      </c>
    </row>
    <row r="2">
      <c r="A2" t="inlineStr">
        <is>
          <t>healthy</t>
        </is>
      </c>
      <c r="B2" t="n">
        <v>0</v>
      </c>
      <c r="E2" t="inlineStr">
        <is>
          <t>{}</t>
        </is>
      </c>
      <c r="F2" t="inlineStr">
        <is>
          <t>SAFE</t>
        </is>
      </c>
      <c r="G2" t="inlineStr">
        <is>
          <t>-</t>
        </is>
      </c>
      <c r="H2" t="inlineStr">
        <is>
          <t>SAFE</t>
        </is>
      </c>
    </row>
    <row r="3">
      <c r="A3" t="inlineStr">
        <is>
          <t>itsc_4turn</t>
        </is>
      </c>
      <c r="B3" t="n">
        <v>20</v>
      </c>
      <c r="C3" t="n">
        <v>23.061</v>
      </c>
      <c r="E3" t="inlineStr">
        <is>
          <t>{"WARN": 3.06}</t>
        </is>
      </c>
      <c r="F3" t="inlineStr">
        <is>
          <t>WARN</t>
        </is>
      </c>
      <c r="G3" t="inlineStr">
        <is>
          <t>i2i1</t>
        </is>
      </c>
      <c r="H3" t="inlineStr">
        <is>
          <t>WARN</t>
        </is>
      </c>
    </row>
    <row r="4">
      <c r="A4" t="inlineStr">
        <is>
          <t>itsc_12turn</t>
        </is>
      </c>
      <c r="B4" t="n">
        <v>45</v>
      </c>
      <c r="D4" t="n">
        <v>48.034</v>
      </c>
      <c r="E4" t="inlineStr">
        <is>
          <t>{"DANGER": 3.03}</t>
        </is>
      </c>
      <c r="F4" t="inlineStr">
        <is>
          <t>DANGER</t>
        </is>
      </c>
      <c r="G4" t="inlineStr">
        <is>
          <t>i2i1</t>
        </is>
      </c>
      <c r="H4" t="inlineStr">
        <is>
          <t>DANGER</t>
        </is>
      </c>
    </row>
    <row r="5">
      <c r="A5" t="inlineStr">
        <is>
          <t>itsc_8turn</t>
        </is>
      </c>
      <c r="B5" t="n">
        <v>165</v>
      </c>
      <c r="C5" t="n">
        <v>165.037</v>
      </c>
      <c r="D5" t="n">
        <v>168.092</v>
      </c>
      <c r="E5" t="inlineStr">
        <is>
          <t>{"WARN": 0.04, "DANGER": 3.09}</t>
        </is>
      </c>
      <c r="F5" t="inlineStr">
        <is>
          <t>DANGER</t>
        </is>
      </c>
      <c r="G5" t="inlineStr">
        <is>
          <t>i2i1</t>
        </is>
      </c>
      <c r="H5" t="inlineStr">
        <is>
          <t>DANGER</t>
        </is>
      </c>
    </row>
    <row r="6">
      <c r="A6" t="inlineStr">
        <is>
          <t>itsc_16turn</t>
        </is>
      </c>
      <c r="B6" t="n">
        <v>185</v>
      </c>
      <c r="E6" t="inlineStr">
        <is>
          <t>{}</t>
        </is>
      </c>
      <c r="F6" t="inlineStr">
        <is>
          <t>DANGER</t>
        </is>
      </c>
      <c r="G6" t="inlineStr">
        <is>
          <t>i2i1</t>
        </is>
      </c>
      <c r="H6" t="inlineStr">
        <is>
          <t>DANGER</t>
        </is>
      </c>
    </row>
    <row r="7">
      <c r="A7" t="inlineStr">
        <is>
          <t>itsc_4turn_resistive</t>
        </is>
      </c>
      <c r="B7" t="n">
        <v>205</v>
      </c>
      <c r="E7" t="inlineStr">
        <is>
          <t>{}</t>
        </is>
      </c>
      <c r="F7" t="inlineStr">
        <is>
          <t>SAFE</t>
        </is>
      </c>
      <c r="G7" t="inlineStr">
        <is>
          <t>-</t>
        </is>
      </c>
      <c r="H7" t="inlineStr">
        <is>
          <t>SAFE</t>
        </is>
      </c>
    </row>
    <row r="8">
      <c r="A8" t="inlineStr">
        <is>
          <t>itsc_4turn_halfload</t>
        </is>
      </c>
      <c r="B8" t="n">
        <v>225</v>
      </c>
      <c r="D8" t="n">
        <v>228.052</v>
      </c>
      <c r="E8" t="inlineStr">
        <is>
          <t>{"DANGER": 3.05}</t>
        </is>
      </c>
      <c r="F8" t="inlineStr">
        <is>
          <t>DANGER</t>
        </is>
      </c>
      <c r="G8" t="inlineStr">
        <is>
          <t>current_ratio</t>
        </is>
      </c>
      <c r="H8" t="inlineStr">
        <is>
          <t>WARN</t>
        </is>
      </c>
    </row>
    <row r="9">
      <c r="A9" t="inlineStr">
        <is>
          <t>itsc_4turn (integrated thermal)</t>
        </is>
      </c>
      <c r="B9" t="n">
        <v>20</v>
      </c>
      <c r="E9" t="inlineStr">
        <is>
          <t>[{"t": 23.033, "to": "WARN", "cause": "i2i1", "value": "0.0726"}]</t>
        </is>
      </c>
      <c r="F9" t="inlineStr">
        <is>
          <t>WARN</t>
        </is>
      </c>
      <c r="G9" t="inlineStr">
        <is>
          <t>i2i1</t>
        </is>
      </c>
    </row>
    <row r="10">
      <c r="A10" t="inlineStr">
        <is>
          <t>itsc_12turn (integrated thermal)</t>
        </is>
      </c>
      <c r="B10" t="n">
        <v>20</v>
      </c>
      <c r="E10" t="inlineStr">
        <is>
          <t>[{"t": 21.802, "to": "WARN", "cause": "temperature", "value": "95.9"}, {"t": 23.03, "to": "DANGER", "cause": "i2i1", "value": "0.2696"}]</t>
        </is>
      </c>
      <c r="F10" t="inlineStr">
        <is>
          <t>DANGER</t>
        </is>
      </c>
      <c r="G10" t="inlineStr">
        <is>
          <t>i2i1</t>
        </is>
      </c>
    </row>
    <row r="11">
      <c r="A11" t="inlineStr">
        <is>
          <t>itsc_16turn (integrated thermal)</t>
        </is>
      </c>
      <c r="B11" t="n">
        <v>20</v>
      </c>
      <c r="E11" t="inlineStr">
        <is>
          <t>[{"t": 20.889, "to": "WARN", "cause": "temperature", "value": "96.1"}, {"t": 22.503, "to": "DANGER", "cause": "temperature", "value": "141.1"}, {"t": 23.015, "to": "DANGER", "cause": "i2i1", "value": "0.3625"}]</t>
        </is>
      </c>
      <c r="F11" t="inlineStr">
        <is>
          <t>DANGER</t>
        </is>
      </c>
      <c r="G11" t="inlineStr">
        <is>
          <t>i2i1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실행</t>
        </is>
      </c>
      <c r="B1" t="inlineStr">
        <is>
          <t>파일</t>
        </is>
      </c>
      <c r="C1" t="inlineStr">
        <is>
          <t>케이스</t>
        </is>
      </c>
      <c r="D1" t="inlineStr">
        <is>
          <t>재계산</t>
        </is>
      </c>
      <c r="E1" t="inlineStr">
        <is>
          <t>엔진</t>
        </is>
      </c>
      <c r="F1" t="inlineStr">
        <is>
          <t>편차 % (수식)</t>
        </is>
      </c>
      <c r="G1" t="inlineStr">
        <is>
          <t>판정 (수식, ±0.5 %)</t>
        </is>
      </c>
    </row>
    <row r="2">
      <c r="A2" t="inlineStr">
        <is>
          <t>a0</t>
        </is>
      </c>
      <c r="B2" t="inlineStr">
        <is>
          <t>waveform_0000.00_post_healthy.csv</t>
        </is>
      </c>
      <c r="C2" t="inlineStr">
        <is>
          <t>healthy</t>
        </is>
      </c>
      <c r="D2" t="n">
        <v>0.027</v>
      </c>
      <c r="E2" t="n">
        <v>0.027</v>
      </c>
      <c r="F2">
        <f>(D2/E2-1)*100</f>
        <v/>
      </c>
      <c r="G2">
        <f>IF(ABS(F2)&lt;=0.5,"PASS","FAIL")</f>
        <v/>
      </c>
    </row>
    <row r="3">
      <c r="A3" t="inlineStr">
        <is>
          <t>a0</t>
        </is>
      </c>
      <c r="B3" t="inlineStr">
        <is>
          <t>waveform_0020.05_post_itsc_4turn.csv</t>
        </is>
      </c>
      <c r="C3" t="inlineStr">
        <is>
          <t>itsc_4turn</t>
        </is>
      </c>
      <c r="D3" t="n">
        <v>0.07262299999999999</v>
      </c>
      <c r="E3" t="n">
        <v>0.07262</v>
      </c>
      <c r="F3">
        <f>(D3/E3-1)*100</f>
        <v/>
      </c>
      <c r="G3">
        <f>IF(ABS(F3)&lt;=0.5,"PASS","FAIL")</f>
        <v/>
      </c>
    </row>
    <row r="4">
      <c r="A4" t="inlineStr">
        <is>
          <t>a0</t>
        </is>
      </c>
      <c r="B4" t="inlineStr">
        <is>
          <t>waveform_0020.05_pre_healthy.csv</t>
        </is>
      </c>
      <c r="C4" t="inlineStr">
        <is>
          <t>healthy</t>
        </is>
      </c>
      <c r="D4" t="n">
        <v>0.027</v>
      </c>
      <c r="E4" t="n">
        <v>0.027</v>
      </c>
      <c r="F4">
        <f>(D4/E4-1)*100</f>
        <v/>
      </c>
      <c r="G4">
        <f>IF(ABS(F4)&lt;=0.5,"PASS","FAIL")</f>
        <v/>
      </c>
    </row>
    <row r="5">
      <c r="A5" t="inlineStr">
        <is>
          <t>a0</t>
        </is>
      </c>
      <c r="B5" t="inlineStr">
        <is>
          <t>waveform_0045.02_post_itsc_12turn.csv</t>
        </is>
      </c>
      <c r="C5" t="inlineStr">
        <is>
          <t>itsc_12turn</t>
        </is>
      </c>
      <c r="D5" t="n">
        <v>0.269578</v>
      </c>
      <c r="E5" t="n">
        <v>0.26958</v>
      </c>
      <c r="F5">
        <f>(D5/E5-1)*100</f>
        <v/>
      </c>
      <c r="G5">
        <f>IF(ABS(F5)&lt;=0.5,"PASS","FAIL")</f>
        <v/>
      </c>
    </row>
    <row r="6">
      <c r="A6" t="inlineStr">
        <is>
          <t>a0</t>
        </is>
      </c>
      <c r="B6" t="inlineStr">
        <is>
          <t>waveform_0045.02_pre_itsc_4turn.csv</t>
        </is>
      </c>
      <c r="C6" t="inlineStr">
        <is>
          <t>itsc_4turn</t>
        </is>
      </c>
      <c r="D6" t="n">
        <v>0.07262299999999999</v>
      </c>
      <c r="E6" t="n">
        <v>0.07262</v>
      </c>
      <c r="F6">
        <f>(D6/E6-1)*100</f>
        <v/>
      </c>
      <c r="G6">
        <f>IF(ABS(F6)&lt;=0.5,"PASS","FAIL")</f>
        <v/>
      </c>
    </row>
    <row r="7">
      <c r="A7" t="inlineStr">
        <is>
          <t>a0</t>
        </is>
      </c>
      <c r="B7" t="inlineStr">
        <is>
          <t>waveform_0075.04_post_overload.csv</t>
        </is>
      </c>
      <c r="C7" t="inlineStr">
        <is>
          <t>overload</t>
        </is>
      </c>
      <c r="D7" t="n">
        <v>0.027</v>
      </c>
      <c r="E7" t="n">
        <v>0.027</v>
      </c>
      <c r="F7">
        <f>(D7/E7-1)*100</f>
        <v/>
      </c>
      <c r="G7">
        <f>IF(ABS(F7)&lt;=0.5,"PASS","FAIL")</f>
        <v/>
      </c>
    </row>
    <row r="8">
      <c r="A8" t="inlineStr">
        <is>
          <t>a0</t>
        </is>
      </c>
      <c r="B8" t="inlineStr">
        <is>
          <t>waveform_0075.04_pre_itsc_12turn.csv</t>
        </is>
      </c>
      <c r="C8" t="inlineStr">
        <is>
          <t>itsc_12turn</t>
        </is>
      </c>
      <c r="D8" t="n">
        <v>0.269578</v>
      </c>
      <c r="E8" t="n">
        <v>0.26958</v>
      </c>
      <c r="F8">
        <f>(D8/E8-1)*100</f>
        <v/>
      </c>
      <c r="G8">
        <f>IF(ABS(F8)&lt;=0.5,"PASS","FAIL")</f>
        <v/>
      </c>
    </row>
    <row r="9">
      <c r="A9" t="inlineStr">
        <is>
          <t>a0</t>
        </is>
      </c>
      <c r="B9" t="inlineStr">
        <is>
          <t>waveform_0095.00_post_voltage_unbalance.csv</t>
        </is>
      </c>
      <c r="C9" t="inlineStr">
        <is>
          <t>voltage_unbalance</t>
        </is>
      </c>
      <c r="D9" t="n">
        <v>0.059508</v>
      </c>
      <c r="E9" t="n">
        <v>0.05951</v>
      </c>
      <c r="F9">
        <f>(D9/E9-1)*100</f>
        <v/>
      </c>
      <c r="G9">
        <f>IF(ABS(F9)&lt;=0.5,"PASS","FAIL")</f>
        <v/>
      </c>
    </row>
    <row r="10">
      <c r="A10" t="inlineStr">
        <is>
          <t>a0</t>
        </is>
      </c>
      <c r="B10" t="inlineStr">
        <is>
          <t>waveform_0095.00_pre_overload.csv</t>
        </is>
      </c>
      <c r="C10" t="inlineStr">
        <is>
          <t>overload</t>
        </is>
      </c>
      <c r="D10" t="n">
        <v>0.027</v>
      </c>
      <c r="E10" t="n">
        <v>0.027</v>
      </c>
      <c r="F10">
        <f>(D10/E10-1)*100</f>
        <v/>
      </c>
      <c r="G10">
        <f>IF(ABS(F10)&lt;=0.5,"PASS","FAIL")</f>
        <v/>
      </c>
    </row>
    <row r="11">
      <c r="A11" t="inlineStr">
        <is>
          <t>a0</t>
        </is>
      </c>
      <c r="B11" t="inlineStr">
        <is>
          <t>waveform_0120.02_post_single_phasing.csv</t>
        </is>
      </c>
      <c r="C11" t="inlineStr">
        <is>
          <t>single_phasing</t>
        </is>
      </c>
      <c r="D11" t="n">
        <v>0.479167</v>
      </c>
      <c r="E11" t="n">
        <v>0.47917</v>
      </c>
      <c r="F11">
        <f>(D11/E11-1)*100</f>
        <v/>
      </c>
      <c r="G11">
        <f>IF(ABS(F11)&lt;=0.5,"PASS","FAIL")</f>
        <v/>
      </c>
    </row>
    <row r="12">
      <c r="A12" t="inlineStr">
        <is>
          <t>a0</t>
        </is>
      </c>
      <c r="B12" t="inlineStr">
        <is>
          <t>waveform_0120.02_pre_voltage_unbalance.csv</t>
        </is>
      </c>
      <c r="C12" t="inlineStr">
        <is>
          <t>voltage_unbalance</t>
        </is>
      </c>
      <c r="D12" t="n">
        <v>0.059508</v>
      </c>
      <c r="E12" t="n">
        <v>0.05951</v>
      </c>
      <c r="F12">
        <f>(D12/E12-1)*100</f>
        <v/>
      </c>
      <c r="G12">
        <f>IF(ABS(F12)&lt;=0.5,"PASS","FAIL")</f>
        <v/>
      </c>
    </row>
    <row r="13">
      <c r="A13" t="inlineStr">
        <is>
          <t>a0</t>
        </is>
      </c>
      <c r="B13" t="inlineStr">
        <is>
          <t>waveform_0145.03_post_no_load.csv</t>
        </is>
      </c>
      <c r="C13" t="inlineStr">
        <is>
          <t>no_load</t>
        </is>
      </c>
      <c r="D13" t="n">
        <v>0.027</v>
      </c>
      <c r="E13" t="n">
        <v>0.027</v>
      </c>
      <c r="F13">
        <f>(D13/E13-1)*100</f>
        <v/>
      </c>
      <c r="G13">
        <f>IF(ABS(F13)&lt;=0.5,"PASS","FAIL")</f>
        <v/>
      </c>
    </row>
    <row r="14">
      <c r="A14" t="inlineStr">
        <is>
          <t>a0</t>
        </is>
      </c>
      <c r="B14" t="inlineStr">
        <is>
          <t>waveform_0145.03_pre_single_phasing.csv</t>
        </is>
      </c>
      <c r="C14" t="inlineStr">
        <is>
          <t>single_phasing</t>
        </is>
      </c>
      <c r="D14" t="n">
        <v>0.479167</v>
      </c>
      <c r="E14" t="n">
        <v>0.47917</v>
      </c>
      <c r="F14">
        <f>(D14/E14-1)*100</f>
        <v/>
      </c>
      <c r="G14">
        <f>IF(ABS(F14)&lt;=0.5,"PASS","FAIL")</f>
        <v/>
      </c>
    </row>
    <row r="15">
      <c r="A15" t="inlineStr">
        <is>
          <t>a0</t>
        </is>
      </c>
      <c r="B15" t="inlineStr">
        <is>
          <t>waveform_0165.04_post_itsc_8turn.csv</t>
        </is>
      </c>
      <c r="C15" t="inlineStr">
        <is>
          <t>itsc_8turn</t>
        </is>
      </c>
      <c r="D15" t="n">
        <v>0.167573</v>
      </c>
      <c r="E15" t="n">
        <v>0.16757</v>
      </c>
      <c r="F15">
        <f>(D15/E15-1)*100</f>
        <v/>
      </c>
      <c r="G15">
        <f>IF(ABS(F15)&lt;=0.5,"PASS","FAIL")</f>
        <v/>
      </c>
    </row>
    <row r="16">
      <c r="A16" t="inlineStr">
        <is>
          <t>a0</t>
        </is>
      </c>
      <c r="B16" t="inlineStr">
        <is>
          <t>waveform_0165.04_pre_no_load.csv</t>
        </is>
      </c>
      <c r="C16" t="inlineStr">
        <is>
          <t>no_load</t>
        </is>
      </c>
      <c r="D16" t="n">
        <v>0.027</v>
      </c>
      <c r="E16" t="n">
        <v>0.027</v>
      </c>
      <c r="F16">
        <f>(D16/E16-1)*100</f>
        <v/>
      </c>
      <c r="G16">
        <f>IF(ABS(F16)&lt;=0.5,"PASS","FAIL")</f>
        <v/>
      </c>
    </row>
    <row r="17">
      <c r="A17" t="inlineStr">
        <is>
          <t>a0</t>
        </is>
      </c>
      <c r="B17" t="inlineStr">
        <is>
          <t>waveform_0185.02_post_itsc_16turn.csv</t>
        </is>
      </c>
      <c r="C17" t="inlineStr">
        <is>
          <t>itsc_16turn</t>
        </is>
      </c>
      <c r="D17" t="n">
        <v>0.362533</v>
      </c>
      <c r="E17" t="n">
        <v>0.36253</v>
      </c>
      <c r="F17">
        <f>(D17/E17-1)*100</f>
        <v/>
      </c>
      <c r="G17">
        <f>IF(ABS(F17)&lt;=0.5,"PASS","FAIL")</f>
        <v/>
      </c>
    </row>
    <row r="18">
      <c r="A18" t="inlineStr">
        <is>
          <t>a0</t>
        </is>
      </c>
      <c r="B18" t="inlineStr">
        <is>
          <t>waveform_0185.02_pre_itsc_8turn.csv</t>
        </is>
      </c>
      <c r="C18" t="inlineStr">
        <is>
          <t>itsc_8turn</t>
        </is>
      </c>
      <c r="D18" t="n">
        <v>0.167573</v>
      </c>
      <c r="E18" t="n">
        <v>0.16757</v>
      </c>
      <c r="F18">
        <f>(D18/E18-1)*100</f>
        <v/>
      </c>
      <c r="G18">
        <f>IF(ABS(F18)&lt;=0.5,"PASS","FAIL")</f>
        <v/>
      </c>
    </row>
    <row r="19">
      <c r="A19" t="inlineStr">
        <is>
          <t>a0</t>
        </is>
      </c>
      <c r="B19" t="inlineStr">
        <is>
          <t>waveform_0205.06_post_itsc_4turn_resistive.csv</t>
        </is>
      </c>
      <c r="C19" t="inlineStr">
        <is>
          <t>itsc_4turn_resistive</t>
        </is>
      </c>
      <c r="D19" t="n">
        <v>0.032438</v>
      </c>
      <c r="E19" t="n">
        <v>0.03244</v>
      </c>
      <c r="F19">
        <f>(D19/E19-1)*100</f>
        <v/>
      </c>
      <c r="G19">
        <f>IF(ABS(F19)&lt;=0.5,"PASS","FAIL")</f>
        <v/>
      </c>
    </row>
    <row r="20">
      <c r="A20" t="inlineStr">
        <is>
          <t>a0</t>
        </is>
      </c>
      <c r="B20" t="inlineStr">
        <is>
          <t>waveform_0205.06_pre_itsc_16turn.csv</t>
        </is>
      </c>
      <c r="C20" t="inlineStr">
        <is>
          <t>itsc_16turn</t>
        </is>
      </c>
      <c r="D20" t="n">
        <v>0.362533</v>
      </c>
      <c r="E20" t="n">
        <v>0.36253</v>
      </c>
      <c r="F20">
        <f>(D20/E20-1)*100</f>
        <v/>
      </c>
      <c r="G20">
        <f>IF(ABS(F20)&lt;=0.5,"PASS","FAIL")</f>
        <v/>
      </c>
    </row>
    <row r="21">
      <c r="A21" t="inlineStr">
        <is>
          <t>a0</t>
        </is>
      </c>
      <c r="B21" t="inlineStr">
        <is>
          <t>waveform_0225.03_post_itsc_4turn_halfload.csv</t>
        </is>
      </c>
      <c r="C21" t="inlineStr">
        <is>
          <t>itsc_4turn_halfload</t>
        </is>
      </c>
      <c r="D21" t="n">
        <v>0.095294</v>
      </c>
      <c r="E21" t="n">
        <v>0.09529</v>
      </c>
      <c r="F21">
        <f>(D21/E21-1)*100</f>
        <v/>
      </c>
      <c r="G21">
        <f>IF(ABS(F21)&lt;=0.5,"PASS","FAIL")</f>
        <v/>
      </c>
    </row>
    <row r="22">
      <c r="A22" t="inlineStr">
        <is>
          <t>a0</t>
        </is>
      </c>
      <c r="B22" t="inlineStr">
        <is>
          <t>waveform_0225.03_pre_itsc_4turn_resistive.csv</t>
        </is>
      </c>
      <c r="C22" t="inlineStr">
        <is>
          <t>itsc_4turn_resistive</t>
        </is>
      </c>
      <c r="D22" t="n">
        <v>0.032438</v>
      </c>
      <c r="E22" t="n">
        <v>0.03244</v>
      </c>
      <c r="F22">
        <f>(D22/E22-1)*100</f>
        <v/>
      </c>
      <c r="G22">
        <f>IF(ABS(F22)&lt;=0.5,"PASS","FAIL")</f>
        <v/>
      </c>
    </row>
    <row r="23">
      <c r="A23" t="inlineStr">
        <is>
          <t>a0</t>
        </is>
      </c>
      <c r="B23" t="inlineStr">
        <is>
          <t>waveform_0245.02_post_itsc_4turn_halfload.csv</t>
        </is>
      </c>
      <c r="C23" t="inlineStr">
        <is>
          <t>itsc_4turn_halfload</t>
        </is>
      </c>
      <c r="D23" t="n">
        <v>0.095294</v>
      </c>
      <c r="E23" t="n">
        <v>0.09529</v>
      </c>
      <c r="F23">
        <f>(D23/E23-1)*100</f>
        <v/>
      </c>
      <c r="G23">
        <f>IF(ABS(F23)&lt;=0.5,"PASS","FAIL")</f>
        <v/>
      </c>
    </row>
    <row r="24">
      <c r="A24" t="inlineStr">
        <is>
          <t>a0</t>
        </is>
      </c>
      <c r="B24" t="inlineStr">
        <is>
          <t>waveform_0245.02_pre_itsc_4turn_halfload.csv</t>
        </is>
      </c>
      <c r="C24" t="inlineStr">
        <is>
          <t>itsc_4turn_halfload</t>
        </is>
      </c>
      <c r="D24" t="n">
        <v>0.095294</v>
      </c>
      <c r="E24" t="n">
        <v>0.09529</v>
      </c>
      <c r="F24">
        <f>(D24/E24-1)*100</f>
        <v/>
      </c>
      <c r="G24">
        <f>IF(ABS(F24)&lt;=0.5,"PASS","FAIL")</f>
        <v/>
      </c>
    </row>
    <row r="25">
      <c r="A25" t="inlineStr">
        <is>
          <t>a90</t>
        </is>
      </c>
      <c r="B25" t="inlineStr">
        <is>
          <t>waveform_0000.00_post_healthy.csv</t>
        </is>
      </c>
      <c r="C25" t="inlineStr">
        <is>
          <t>healthy</t>
        </is>
      </c>
      <c r="D25" t="n">
        <v>0.027</v>
      </c>
      <c r="E25" t="n">
        <v>0.027</v>
      </c>
      <c r="F25">
        <f>(D25/E25-1)*100</f>
        <v/>
      </c>
      <c r="G25">
        <f>IF(ABS(F25)&lt;=0.5,"PASS","FAIL")</f>
        <v/>
      </c>
    </row>
    <row r="26">
      <c r="A26" t="inlineStr">
        <is>
          <t>a90</t>
        </is>
      </c>
      <c r="B26" t="inlineStr">
        <is>
          <t>waveform_0020.06_post_itsc_4turn.csv</t>
        </is>
      </c>
      <c r="C26" t="inlineStr">
        <is>
          <t>itsc_4turn</t>
        </is>
      </c>
      <c r="D26" t="n">
        <v>0.06833699999999999</v>
      </c>
      <c r="E26" t="n">
        <v>0.06834</v>
      </c>
      <c r="F26">
        <f>(D26/E26-1)*100</f>
        <v/>
      </c>
      <c r="G26">
        <f>IF(ABS(F26)&lt;=0.5,"PASS","FAIL")</f>
        <v/>
      </c>
    </row>
    <row r="27">
      <c r="A27" t="inlineStr">
        <is>
          <t>a90</t>
        </is>
      </c>
      <c r="B27" t="inlineStr">
        <is>
          <t>waveform_0020.06_pre_healthy.csv</t>
        </is>
      </c>
      <c r="C27" t="inlineStr">
        <is>
          <t>healthy</t>
        </is>
      </c>
      <c r="D27" t="n">
        <v>0.027</v>
      </c>
      <c r="E27" t="n">
        <v>0.027</v>
      </c>
      <c r="F27">
        <f>(D27/E27-1)*100</f>
        <v/>
      </c>
      <c r="G27">
        <f>IF(ABS(F27)&lt;=0.5,"PASS","FAIL")</f>
        <v/>
      </c>
    </row>
    <row r="28">
      <c r="A28" t="inlineStr">
        <is>
          <t>a90</t>
        </is>
      </c>
      <c r="B28" t="inlineStr">
        <is>
          <t>waveform_0045.04_post_itsc_12turn.csv</t>
        </is>
      </c>
      <c r="C28" t="inlineStr">
        <is>
          <t>itsc_12turn</t>
        </is>
      </c>
      <c r="D28" t="n">
        <v>0.259428</v>
      </c>
      <c r="E28" t="n">
        <v>0.25943</v>
      </c>
      <c r="F28">
        <f>(D28/E28-1)*100</f>
        <v/>
      </c>
      <c r="G28">
        <f>IF(ABS(F28)&lt;=0.5,"PASS","FAIL")</f>
        <v/>
      </c>
    </row>
    <row r="29">
      <c r="A29" t="inlineStr">
        <is>
          <t>a90</t>
        </is>
      </c>
      <c r="B29" t="inlineStr">
        <is>
          <t>waveform_0045.04_pre_itsc_4turn.csv</t>
        </is>
      </c>
      <c r="C29" t="inlineStr">
        <is>
          <t>itsc_4turn</t>
        </is>
      </c>
      <c r="D29" t="n">
        <v>0.06833699999999999</v>
      </c>
      <c r="E29" t="n">
        <v>0.06834</v>
      </c>
      <c r="F29">
        <f>(D29/E29-1)*100</f>
        <v/>
      </c>
      <c r="G29">
        <f>IF(ABS(F29)&lt;=0.5,"PASS","FAIL")</f>
        <v/>
      </c>
    </row>
    <row r="30">
      <c r="A30" t="inlineStr">
        <is>
          <t>a90</t>
        </is>
      </c>
      <c r="B30" t="inlineStr">
        <is>
          <t>waveform_0075.01_post_overload.csv</t>
        </is>
      </c>
      <c r="C30" t="inlineStr">
        <is>
          <t>overload</t>
        </is>
      </c>
      <c r="D30" t="n">
        <v>0.027</v>
      </c>
      <c r="E30" t="n">
        <v>0.027</v>
      </c>
      <c r="F30">
        <f>(D30/E30-1)*100</f>
        <v/>
      </c>
      <c r="G30">
        <f>IF(ABS(F30)&lt;=0.5,"PASS","FAIL")</f>
        <v/>
      </c>
    </row>
    <row r="31">
      <c r="A31" t="inlineStr">
        <is>
          <t>a90</t>
        </is>
      </c>
      <c r="B31" t="inlineStr">
        <is>
          <t>waveform_0075.01_pre_itsc_12turn.csv</t>
        </is>
      </c>
      <c r="C31" t="inlineStr">
        <is>
          <t>itsc_12turn</t>
        </is>
      </c>
      <c r="D31" t="n">
        <v>0.259428</v>
      </c>
      <c r="E31" t="n">
        <v>0.25943</v>
      </c>
      <c r="F31">
        <f>(D31/E31-1)*100</f>
        <v/>
      </c>
      <c r="G31">
        <f>IF(ABS(F31)&lt;=0.5,"PASS","FAIL")</f>
        <v/>
      </c>
    </row>
    <row r="32">
      <c r="A32" t="inlineStr">
        <is>
          <t>a90</t>
        </is>
      </c>
      <c r="B32" t="inlineStr">
        <is>
          <t>waveform_0095.05_post_voltage_unbalance.csv</t>
        </is>
      </c>
      <c r="C32" t="inlineStr">
        <is>
          <t>voltage_unbalance</t>
        </is>
      </c>
      <c r="D32" t="n">
        <v>0.059508</v>
      </c>
      <c r="E32" t="n">
        <v>0.05951</v>
      </c>
      <c r="F32">
        <f>(D32/E32-1)*100</f>
        <v/>
      </c>
      <c r="G32">
        <f>IF(ABS(F32)&lt;=0.5,"PASS","FAIL")</f>
        <v/>
      </c>
    </row>
    <row r="33">
      <c r="A33" t="inlineStr">
        <is>
          <t>a90</t>
        </is>
      </c>
      <c r="B33" t="inlineStr">
        <is>
          <t>waveform_0095.05_pre_overload.csv</t>
        </is>
      </c>
      <c r="C33" t="inlineStr">
        <is>
          <t>overload</t>
        </is>
      </c>
      <c r="D33" t="n">
        <v>0.027</v>
      </c>
      <c r="E33" t="n">
        <v>0.027</v>
      </c>
      <c r="F33">
        <f>(D33/E33-1)*100</f>
        <v/>
      </c>
      <c r="G33">
        <f>IF(ABS(F33)&lt;=0.5,"PASS","FAIL")</f>
        <v/>
      </c>
    </row>
    <row r="34">
      <c r="A34" t="inlineStr">
        <is>
          <t>a90</t>
        </is>
      </c>
      <c r="B34" t="inlineStr">
        <is>
          <t>waveform_0120.05_post_single_phasing.csv</t>
        </is>
      </c>
      <c r="C34" t="inlineStr">
        <is>
          <t>single_phasing</t>
        </is>
      </c>
      <c r="D34" t="n">
        <v>0.479167</v>
      </c>
      <c r="E34" t="n">
        <v>0.47917</v>
      </c>
      <c r="F34">
        <f>(D34/E34-1)*100</f>
        <v/>
      </c>
      <c r="G34">
        <f>IF(ABS(F34)&lt;=0.5,"PASS","FAIL")</f>
        <v/>
      </c>
    </row>
    <row r="35">
      <c r="A35" t="inlineStr">
        <is>
          <t>a90</t>
        </is>
      </c>
      <c r="B35" t="inlineStr">
        <is>
          <t>waveform_0120.05_pre_voltage_unbalance.csv</t>
        </is>
      </c>
      <c r="C35" t="inlineStr">
        <is>
          <t>voltage_unbalance</t>
        </is>
      </c>
      <c r="D35" t="n">
        <v>0.059508</v>
      </c>
      <c r="E35" t="n">
        <v>0.05951</v>
      </c>
      <c r="F35">
        <f>(D35/E35-1)*100</f>
        <v/>
      </c>
      <c r="G35">
        <f>IF(ABS(F35)&lt;=0.5,"PASS","FAIL")</f>
        <v/>
      </c>
    </row>
    <row r="36">
      <c r="A36" t="inlineStr">
        <is>
          <t>a90</t>
        </is>
      </c>
      <c r="B36" t="inlineStr">
        <is>
          <t>waveform_0145.00_post_no_load.csv</t>
        </is>
      </c>
      <c r="C36" t="inlineStr">
        <is>
          <t>no_load</t>
        </is>
      </c>
      <c r="D36" t="n">
        <v>0.027</v>
      </c>
      <c r="E36" t="n">
        <v>0.027</v>
      </c>
      <c r="F36">
        <f>(D36/E36-1)*100</f>
        <v/>
      </c>
      <c r="G36">
        <f>IF(ABS(F36)&lt;=0.5,"PASS","FAIL")</f>
        <v/>
      </c>
    </row>
    <row r="37">
      <c r="A37" t="inlineStr">
        <is>
          <t>a90</t>
        </is>
      </c>
      <c r="B37" t="inlineStr">
        <is>
          <t>waveform_0145.00_pre_single_phasing.csv</t>
        </is>
      </c>
      <c r="C37" t="inlineStr">
        <is>
          <t>single_phasing</t>
        </is>
      </c>
      <c r="D37" t="n">
        <v>0.479167</v>
      </c>
      <c r="E37" t="n">
        <v>0.47917</v>
      </c>
      <c r="F37">
        <f>(D37/E37-1)*100</f>
        <v/>
      </c>
      <c r="G37">
        <f>IF(ABS(F37)&lt;=0.5,"PASS","FAIL")</f>
        <v/>
      </c>
    </row>
    <row r="38">
      <c r="A38" t="inlineStr">
        <is>
          <t>a90</t>
        </is>
      </c>
      <c r="B38" t="inlineStr">
        <is>
          <t>waveform_0165.03_post_itsc_8turn.csv</t>
        </is>
      </c>
      <c r="C38" t="inlineStr">
        <is>
          <t>itsc_8turn</t>
        </is>
      </c>
      <c r="D38" t="n">
        <v>0.160109</v>
      </c>
      <c r="E38" t="n">
        <v>0.16011</v>
      </c>
      <c r="F38">
        <f>(D38/E38-1)*100</f>
        <v/>
      </c>
      <c r="G38">
        <f>IF(ABS(F38)&lt;=0.5,"PASS","FAIL")</f>
        <v/>
      </c>
    </row>
    <row r="39">
      <c r="A39" t="inlineStr">
        <is>
          <t>a90</t>
        </is>
      </c>
      <c r="B39" t="inlineStr">
        <is>
          <t>waveform_0165.03_pre_no_load.csv</t>
        </is>
      </c>
      <c r="C39" t="inlineStr">
        <is>
          <t>no_load</t>
        </is>
      </c>
      <c r="D39" t="n">
        <v>0.027</v>
      </c>
      <c r="E39" t="n">
        <v>0.027</v>
      </c>
      <c r="F39">
        <f>(D39/E39-1)*100</f>
        <v/>
      </c>
      <c r="G39">
        <f>IF(ABS(F39)&lt;=0.5,"PASS","FAIL")</f>
        <v/>
      </c>
    </row>
    <row r="40">
      <c r="A40" t="inlineStr">
        <is>
          <t>a90</t>
        </is>
      </c>
      <c r="B40" t="inlineStr">
        <is>
          <t>waveform_0185.01_post_itsc_16turn.csv</t>
        </is>
      </c>
      <c r="C40" t="inlineStr">
        <is>
          <t>itsc_16turn</t>
        </is>
      </c>
      <c r="D40" t="n">
        <v>0.350064</v>
      </c>
      <c r="E40" t="n">
        <v>0.35006</v>
      </c>
      <c r="F40">
        <f>(D40/E40-1)*100</f>
        <v/>
      </c>
      <c r="G40">
        <f>IF(ABS(F40)&lt;=0.5,"PASS","FAIL")</f>
        <v/>
      </c>
    </row>
    <row r="41">
      <c r="A41" t="inlineStr">
        <is>
          <t>a90</t>
        </is>
      </c>
      <c r="B41" t="inlineStr">
        <is>
          <t>waveform_0185.01_pre_itsc_8turn.csv</t>
        </is>
      </c>
      <c r="C41" t="inlineStr">
        <is>
          <t>itsc_8turn</t>
        </is>
      </c>
      <c r="D41" t="n">
        <v>0.160109</v>
      </c>
      <c r="E41" t="n">
        <v>0.16011</v>
      </c>
      <c r="F41">
        <f>(D41/E41-1)*100</f>
        <v/>
      </c>
      <c r="G41">
        <f>IF(ABS(F41)&lt;=0.5,"PASS","FAIL")</f>
        <v/>
      </c>
    </row>
    <row r="42">
      <c r="A42" t="inlineStr">
        <is>
          <t>a90</t>
        </is>
      </c>
      <c r="B42" t="inlineStr">
        <is>
          <t>waveform_0205.06_post_itsc_4turn_resistive.csv</t>
        </is>
      </c>
      <c r="C42" t="inlineStr">
        <is>
          <t>itsc_4turn_resistive</t>
        </is>
      </c>
      <c r="D42" t="n">
        <v>0.031407</v>
      </c>
      <c r="E42" t="n">
        <v>0.03141</v>
      </c>
      <c r="F42">
        <f>(D42/E42-1)*100</f>
        <v/>
      </c>
      <c r="G42">
        <f>IF(ABS(F42)&lt;=0.5,"PASS","FAIL")</f>
        <v/>
      </c>
    </row>
    <row r="43">
      <c r="A43" t="inlineStr">
        <is>
          <t>a90</t>
        </is>
      </c>
      <c r="B43" t="inlineStr">
        <is>
          <t>waveform_0205.06_pre_itsc_16turn.csv</t>
        </is>
      </c>
      <c r="C43" t="inlineStr">
        <is>
          <t>itsc_16turn</t>
        </is>
      </c>
      <c r="D43" t="n">
        <v>0.350064</v>
      </c>
      <c r="E43" t="n">
        <v>0.35006</v>
      </c>
      <c r="F43">
        <f>(D43/E43-1)*100</f>
        <v/>
      </c>
      <c r="G43">
        <f>IF(ABS(F43)&lt;=0.5,"PASS","FAIL")</f>
        <v/>
      </c>
    </row>
    <row r="44">
      <c r="A44" t="inlineStr">
        <is>
          <t>a90</t>
        </is>
      </c>
      <c r="B44" t="inlineStr">
        <is>
          <t>waveform_0225.03_post_itsc_4turn_halfload.csv</t>
        </is>
      </c>
      <c r="C44" t="inlineStr">
        <is>
          <t>itsc_4turn_halfload</t>
        </is>
      </c>
      <c r="D44" t="n">
        <v>0.09618</v>
      </c>
      <c r="E44" t="n">
        <v>0.09618</v>
      </c>
      <c r="F44">
        <f>(D44/E44-1)*100</f>
        <v/>
      </c>
      <c r="G44">
        <f>IF(ABS(F44)&lt;=0.5,"PASS","FAIL")</f>
        <v/>
      </c>
    </row>
    <row r="45">
      <c r="A45" t="inlineStr">
        <is>
          <t>a90</t>
        </is>
      </c>
      <c r="B45" t="inlineStr">
        <is>
          <t>waveform_0225.03_pre_itsc_4turn_resistive.csv</t>
        </is>
      </c>
      <c r="C45" t="inlineStr">
        <is>
          <t>itsc_4turn_resistive</t>
        </is>
      </c>
      <c r="D45" t="n">
        <v>0.031407</v>
      </c>
      <c r="E45" t="n">
        <v>0.03141</v>
      </c>
      <c r="F45">
        <f>(D45/E45-1)*100</f>
        <v/>
      </c>
      <c r="G45">
        <f>IF(ABS(F45)&lt;=0.5,"PASS","FAIL")</f>
        <v/>
      </c>
    </row>
    <row r="46">
      <c r="A46" t="inlineStr">
        <is>
          <t>a90</t>
        </is>
      </c>
      <c r="B46" t="inlineStr">
        <is>
          <t>waveform_0245.03_post_itsc_4turn_halfload.csv</t>
        </is>
      </c>
      <c r="C46" t="inlineStr">
        <is>
          <t>itsc_4turn_halfload</t>
        </is>
      </c>
      <c r="D46" t="n">
        <v>0.09618</v>
      </c>
      <c r="E46" t="n">
        <v>0.09618</v>
      </c>
      <c r="F46">
        <f>(D46/E46-1)*100</f>
        <v/>
      </c>
      <c r="G46">
        <f>IF(ABS(F46)&lt;=0.5,"PASS","FAIL")</f>
        <v/>
      </c>
    </row>
    <row r="47">
      <c r="A47" t="inlineStr">
        <is>
          <t>a90</t>
        </is>
      </c>
      <c r="B47" t="inlineStr">
        <is>
          <t>waveform_0245.03_pre_itsc_4turn_halfload.csv</t>
        </is>
      </c>
      <c r="C47" t="inlineStr">
        <is>
          <t>itsc_4turn_halfload</t>
        </is>
      </c>
      <c r="D47" t="n">
        <v>0.09618</v>
      </c>
      <c r="E47" t="n">
        <v>0.09618</v>
      </c>
      <c r="F47">
        <f>(D47/E47-1)*100</f>
        <v/>
      </c>
      <c r="G47">
        <f>IF(ABS(F47)&lt;=0.5,"PASS","FAIL")</f>
        <v/>
      </c>
    </row>
    <row r="48">
      <c r="A48" t="inlineStr">
        <is>
          <t>a180</t>
        </is>
      </c>
      <c r="B48" t="inlineStr">
        <is>
          <t>waveform_0000.00_post_healthy.csv</t>
        </is>
      </c>
      <c r="C48" t="inlineStr">
        <is>
          <t>healthy</t>
        </is>
      </c>
      <c r="D48" t="n">
        <v>0.027</v>
      </c>
      <c r="E48" t="n">
        <v>0.027</v>
      </c>
      <c r="F48">
        <f>(D48/E48-1)*100</f>
        <v/>
      </c>
      <c r="G48">
        <f>IF(ABS(F48)&lt;=0.5,"PASS","FAIL")</f>
        <v/>
      </c>
    </row>
    <row r="49">
      <c r="A49" t="inlineStr">
        <is>
          <t>a180</t>
        </is>
      </c>
      <c r="B49" t="inlineStr">
        <is>
          <t>waveform_0020.03_post_itsc_4turn.csv</t>
        </is>
      </c>
      <c r="C49" t="inlineStr">
        <is>
          <t>itsc_4turn</t>
        </is>
      </c>
      <c r="D49" t="n">
        <v>0.031298</v>
      </c>
      <c r="E49" t="n">
        <v>0.0313</v>
      </c>
      <c r="F49">
        <f>(D49/E49-1)*100</f>
        <v/>
      </c>
      <c r="G49">
        <f>IF(ABS(F49)&lt;=0.5,"PASS","FAIL")</f>
        <v/>
      </c>
    </row>
    <row r="50">
      <c r="A50" t="inlineStr">
        <is>
          <t>a180</t>
        </is>
      </c>
      <c r="B50" t="inlineStr">
        <is>
          <t>waveform_0020.03_pre_healthy.csv</t>
        </is>
      </c>
      <c r="C50" t="inlineStr">
        <is>
          <t>healthy</t>
        </is>
      </c>
      <c r="D50" t="n">
        <v>0.027</v>
      </c>
      <c r="E50" t="n">
        <v>0.027</v>
      </c>
      <c r="F50">
        <f>(D50/E50-1)*100</f>
        <v/>
      </c>
      <c r="G50">
        <f>IF(ABS(F50)&lt;=0.5,"PASS","FAIL")</f>
        <v/>
      </c>
    </row>
    <row r="51">
      <c r="A51" t="inlineStr">
        <is>
          <t>a180</t>
        </is>
      </c>
      <c r="B51" t="inlineStr">
        <is>
          <t>waveform_0045.02_post_itsc_12turn.csv</t>
        </is>
      </c>
      <c r="C51" t="inlineStr">
        <is>
          <t>itsc_12turn</t>
        </is>
      </c>
      <c r="D51" t="n">
        <v>0.222124</v>
      </c>
      <c r="E51" t="n">
        <v>0.22212</v>
      </c>
      <c r="F51">
        <f>(D51/E51-1)*100</f>
        <v/>
      </c>
      <c r="G51">
        <f>IF(ABS(F51)&lt;=0.5,"PASS","FAIL")</f>
        <v/>
      </c>
    </row>
    <row r="52">
      <c r="A52" t="inlineStr">
        <is>
          <t>a180</t>
        </is>
      </c>
      <c r="B52" t="inlineStr">
        <is>
          <t>waveform_0045.02_pre_itsc_4turn.csv</t>
        </is>
      </c>
      <c r="C52" t="inlineStr">
        <is>
          <t>itsc_4turn</t>
        </is>
      </c>
      <c r="D52" t="n">
        <v>0.031298</v>
      </c>
      <c r="E52" t="n">
        <v>0.0313</v>
      </c>
      <c r="F52">
        <f>(D52/E52-1)*100</f>
        <v/>
      </c>
      <c r="G52">
        <f>IF(ABS(F52)&lt;=0.5,"PASS","FAIL")</f>
        <v/>
      </c>
    </row>
    <row r="53">
      <c r="A53" t="inlineStr">
        <is>
          <t>a180</t>
        </is>
      </c>
      <c r="B53" t="inlineStr">
        <is>
          <t>waveform_0075.02_post_overload.csv</t>
        </is>
      </c>
      <c r="C53" t="inlineStr">
        <is>
          <t>overload</t>
        </is>
      </c>
      <c r="D53" t="n">
        <v>0.027</v>
      </c>
      <c r="E53" t="n">
        <v>0.027</v>
      </c>
      <c r="F53">
        <f>(D53/E53-1)*100</f>
        <v/>
      </c>
      <c r="G53">
        <f>IF(ABS(F53)&lt;=0.5,"PASS","FAIL")</f>
        <v/>
      </c>
    </row>
    <row r="54">
      <c r="A54" t="inlineStr">
        <is>
          <t>a180</t>
        </is>
      </c>
      <c r="B54" t="inlineStr">
        <is>
          <t>waveform_0075.02_pre_itsc_12turn.csv</t>
        </is>
      </c>
      <c r="C54" t="inlineStr">
        <is>
          <t>itsc_12turn</t>
        </is>
      </c>
      <c r="D54" t="n">
        <v>0.222124</v>
      </c>
      <c r="E54" t="n">
        <v>0.22212</v>
      </c>
      <c r="F54">
        <f>(D54/E54-1)*100</f>
        <v/>
      </c>
      <c r="G54">
        <f>IF(ABS(F54)&lt;=0.5,"PASS","FAIL")</f>
        <v/>
      </c>
    </row>
    <row r="55">
      <c r="A55" t="inlineStr">
        <is>
          <t>a180</t>
        </is>
      </c>
      <c r="B55" t="inlineStr">
        <is>
          <t>waveform_0095.02_post_voltage_unbalance.csv</t>
        </is>
      </c>
      <c r="C55" t="inlineStr">
        <is>
          <t>voltage_unbalance</t>
        </is>
      </c>
      <c r="D55" t="n">
        <v>0.059508</v>
      </c>
      <c r="E55" t="n">
        <v>0.05951</v>
      </c>
      <c r="F55">
        <f>(D55/E55-1)*100</f>
        <v/>
      </c>
      <c r="G55">
        <f>IF(ABS(F55)&lt;=0.5,"PASS","FAIL")</f>
        <v/>
      </c>
    </row>
    <row r="56">
      <c r="A56" t="inlineStr">
        <is>
          <t>a180</t>
        </is>
      </c>
      <c r="B56" t="inlineStr">
        <is>
          <t>waveform_0095.02_pre_overload.csv</t>
        </is>
      </c>
      <c r="C56" t="inlineStr">
        <is>
          <t>overload</t>
        </is>
      </c>
      <c r="D56" t="n">
        <v>0.027</v>
      </c>
      <c r="E56" t="n">
        <v>0.027</v>
      </c>
      <c r="F56">
        <f>(D56/E56-1)*100</f>
        <v/>
      </c>
      <c r="G56">
        <f>IF(ABS(F56)&lt;=0.5,"PASS","FAIL")</f>
        <v/>
      </c>
    </row>
    <row r="57">
      <c r="A57" t="inlineStr">
        <is>
          <t>a180</t>
        </is>
      </c>
      <c r="B57" t="inlineStr">
        <is>
          <t>waveform_0120.05_post_single_phasing.csv</t>
        </is>
      </c>
      <c r="C57" t="inlineStr">
        <is>
          <t>single_phasing</t>
        </is>
      </c>
      <c r="D57" t="n">
        <v>0.479167</v>
      </c>
      <c r="E57" t="n">
        <v>0.47917</v>
      </c>
      <c r="F57">
        <f>(D57/E57-1)*100</f>
        <v/>
      </c>
      <c r="G57">
        <f>IF(ABS(F57)&lt;=0.5,"PASS","FAIL")</f>
        <v/>
      </c>
    </row>
    <row r="58">
      <c r="A58" t="inlineStr">
        <is>
          <t>a180</t>
        </is>
      </c>
      <c r="B58" t="inlineStr">
        <is>
          <t>waveform_0120.05_pre_voltage_unbalance.csv</t>
        </is>
      </c>
      <c r="C58" t="inlineStr">
        <is>
          <t>voltage_unbalance</t>
        </is>
      </c>
      <c r="D58" t="n">
        <v>0.059508</v>
      </c>
      <c r="E58" t="n">
        <v>0.05951</v>
      </c>
      <c r="F58">
        <f>(D58/E58-1)*100</f>
        <v/>
      </c>
      <c r="G58">
        <f>IF(ABS(F58)&lt;=0.5,"PASS","FAIL")</f>
        <v/>
      </c>
    </row>
    <row r="59">
      <c r="A59" t="inlineStr">
        <is>
          <t>a180</t>
        </is>
      </c>
      <c r="B59" t="inlineStr">
        <is>
          <t>waveform_0145.05_post_no_load.csv</t>
        </is>
      </c>
      <c r="C59" t="inlineStr">
        <is>
          <t>no_load</t>
        </is>
      </c>
      <c r="D59" t="n">
        <v>0.027</v>
      </c>
      <c r="E59" t="n">
        <v>0.027</v>
      </c>
      <c r="F59">
        <f>(D59/E59-1)*100</f>
        <v/>
      </c>
      <c r="G59">
        <f>IF(ABS(F59)&lt;=0.5,"PASS","FAIL")</f>
        <v/>
      </c>
    </row>
    <row r="60">
      <c r="A60" t="inlineStr">
        <is>
          <t>a180</t>
        </is>
      </c>
      <c r="B60" t="inlineStr">
        <is>
          <t>waveform_0145.05_pre_single_phasing.csv</t>
        </is>
      </c>
      <c r="C60" t="inlineStr">
        <is>
          <t>single_phasing</t>
        </is>
      </c>
      <c r="D60" t="n">
        <v>0.479167</v>
      </c>
      <c r="E60" t="n">
        <v>0.47917</v>
      </c>
      <c r="F60">
        <f>(D60/E60-1)*100</f>
        <v/>
      </c>
      <c r="G60">
        <f>IF(ABS(F60)&lt;=0.5,"PASS","FAIL")</f>
        <v/>
      </c>
    </row>
    <row r="61">
      <c r="A61" t="inlineStr">
        <is>
          <t>a180</t>
        </is>
      </c>
      <c r="B61" t="inlineStr">
        <is>
          <t>waveform_0165.04_post_itsc_8turn.csv</t>
        </is>
      </c>
      <c r="C61" t="inlineStr">
        <is>
          <t>itsc_8turn</t>
        </is>
      </c>
      <c r="D61" t="n">
        <v>0.122089</v>
      </c>
      <c r="E61" t="n">
        <v>0.12209</v>
      </c>
      <c r="F61">
        <f>(D61/E61-1)*100</f>
        <v/>
      </c>
      <c r="G61">
        <f>IF(ABS(F61)&lt;=0.5,"PASS","FAIL")</f>
        <v/>
      </c>
    </row>
    <row r="62">
      <c r="A62" t="inlineStr">
        <is>
          <t>a180</t>
        </is>
      </c>
      <c r="B62" t="inlineStr">
        <is>
          <t>waveform_0165.04_pre_no_load.csv</t>
        </is>
      </c>
      <c r="C62" t="inlineStr">
        <is>
          <t>no_load</t>
        </is>
      </c>
      <c r="D62" t="n">
        <v>0.027</v>
      </c>
      <c r="E62" t="n">
        <v>0.027</v>
      </c>
      <c r="F62">
        <f>(D62/E62-1)*100</f>
        <v/>
      </c>
      <c r="G62">
        <f>IF(ABS(F62)&lt;=0.5,"PASS","FAIL")</f>
        <v/>
      </c>
    </row>
    <row r="63">
      <c r="A63" t="inlineStr">
        <is>
          <t>a180</t>
        </is>
      </c>
      <c r="B63" t="inlineStr">
        <is>
          <t>waveform_0185.05_post_itsc_16turn.csv</t>
        </is>
      </c>
      <c r="C63" t="inlineStr">
        <is>
          <t>itsc_16turn</t>
        </is>
      </c>
      <c r="D63" t="n">
        <v>0.313563</v>
      </c>
      <c r="E63" t="n">
        <v>0.31356</v>
      </c>
      <c r="F63">
        <f>(D63/E63-1)*100</f>
        <v/>
      </c>
      <c r="G63">
        <f>IF(ABS(F63)&lt;=0.5,"PASS","FAIL")</f>
        <v/>
      </c>
    </row>
    <row r="64">
      <c r="A64" t="inlineStr">
        <is>
          <t>a180</t>
        </is>
      </c>
      <c r="B64" t="inlineStr">
        <is>
          <t>waveform_0185.05_pre_itsc_8turn.csv</t>
        </is>
      </c>
      <c r="C64" t="inlineStr">
        <is>
          <t>itsc_8turn</t>
        </is>
      </c>
      <c r="D64" t="n">
        <v>0.122089</v>
      </c>
      <c r="E64" t="n">
        <v>0.12209</v>
      </c>
      <c r="F64">
        <f>(D64/E64-1)*100</f>
        <v/>
      </c>
      <c r="G64">
        <f>IF(ABS(F64)&lt;=0.5,"PASS","FAIL")</f>
        <v/>
      </c>
    </row>
    <row r="65">
      <c r="A65" t="inlineStr">
        <is>
          <t>a180</t>
        </is>
      </c>
      <c r="B65" t="inlineStr">
        <is>
          <t>waveform_0205.04_post_itsc_4turn_resistive.csv</t>
        </is>
      </c>
      <c r="C65" t="inlineStr">
        <is>
          <t>itsc_4turn_resistive</t>
        </is>
      </c>
      <c r="D65" t="n">
        <v>0.022165</v>
      </c>
      <c r="E65" t="n">
        <v>0.02217</v>
      </c>
      <c r="F65">
        <f>(D65/E65-1)*100</f>
        <v/>
      </c>
      <c r="G65">
        <f>IF(ABS(F65)&lt;=0.5,"PASS","FAIL")</f>
        <v/>
      </c>
    </row>
    <row r="66">
      <c r="A66" t="inlineStr">
        <is>
          <t>a180</t>
        </is>
      </c>
      <c r="B66" t="inlineStr">
        <is>
          <t>waveform_0205.04_pre_itsc_16turn.csv</t>
        </is>
      </c>
      <c r="C66" t="inlineStr">
        <is>
          <t>itsc_16turn</t>
        </is>
      </c>
      <c r="D66" t="n">
        <v>0.313563</v>
      </c>
      <c r="E66" t="n">
        <v>0.31356</v>
      </c>
      <c r="F66">
        <f>(D66/E66-1)*100</f>
        <v/>
      </c>
      <c r="G66">
        <f>IF(ABS(F66)&lt;=0.5,"PASS","FAIL")</f>
        <v/>
      </c>
    </row>
    <row r="67">
      <c r="A67" t="inlineStr">
        <is>
          <t>a180</t>
        </is>
      </c>
      <c r="B67" t="inlineStr">
        <is>
          <t>waveform_0225.03_post_itsc_4turn_halfload.csv</t>
        </is>
      </c>
      <c r="C67" t="inlineStr">
        <is>
          <t>itsc_4turn_halfload</t>
        </is>
      </c>
      <c r="D67" t="n">
        <v>0.059549</v>
      </c>
      <c r="E67" t="n">
        <v>0.05955</v>
      </c>
      <c r="F67">
        <f>(D67/E67-1)*100</f>
        <v/>
      </c>
      <c r="G67">
        <f>IF(ABS(F67)&lt;=0.5,"PASS","FAIL")</f>
        <v/>
      </c>
    </row>
    <row r="68">
      <c r="A68" t="inlineStr">
        <is>
          <t>a180</t>
        </is>
      </c>
      <c r="B68" t="inlineStr">
        <is>
          <t>waveform_0225.03_pre_itsc_4turn_resistive.csv</t>
        </is>
      </c>
      <c r="C68" t="inlineStr">
        <is>
          <t>itsc_4turn_resistive</t>
        </is>
      </c>
      <c r="D68" t="n">
        <v>0.022165</v>
      </c>
      <c r="E68" t="n">
        <v>0.02217</v>
      </c>
      <c r="F68">
        <f>(D68/E68-1)*100</f>
        <v/>
      </c>
      <c r="G68">
        <f>IF(ABS(F68)&lt;=0.5,"PASS","FAIL")</f>
        <v/>
      </c>
    </row>
    <row r="69">
      <c r="A69" t="inlineStr">
        <is>
          <t>a180</t>
        </is>
      </c>
      <c r="B69" t="inlineStr">
        <is>
          <t>waveform_0245.04_post_itsc_4turn_halfload.csv</t>
        </is>
      </c>
      <c r="C69" t="inlineStr">
        <is>
          <t>itsc_4turn_halfload</t>
        </is>
      </c>
      <c r="D69" t="n">
        <v>0.059549</v>
      </c>
      <c r="E69" t="n">
        <v>0.05955</v>
      </c>
      <c r="F69">
        <f>(D69/E69-1)*100</f>
        <v/>
      </c>
      <c r="G69">
        <f>IF(ABS(F69)&lt;=0.5,"PASS","FAIL")</f>
        <v/>
      </c>
    </row>
    <row r="70">
      <c r="A70" t="inlineStr">
        <is>
          <t>a180</t>
        </is>
      </c>
      <c r="B70" t="inlineStr">
        <is>
          <t>waveform_0245.04_pre_itsc_4turn_halfload.csv</t>
        </is>
      </c>
      <c r="C70" t="inlineStr">
        <is>
          <t>itsc_4turn_halfload</t>
        </is>
      </c>
      <c r="D70" t="n">
        <v>0.059549</v>
      </c>
      <c r="E70" t="n">
        <v>0.05955</v>
      </c>
      <c r="F70">
        <f>(D70/E70-1)*100</f>
        <v/>
      </c>
      <c r="G70">
        <f>IF(ABS(F70)&lt;=0.5,"PASS","FAIL")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종류</t>
        </is>
      </c>
      <c r="B1" t="inlineStr">
        <is>
          <t>각도/부하</t>
        </is>
      </c>
      <c r="C1" t="inlineStr">
        <is>
          <t>시나리오</t>
        </is>
      </c>
      <c r="D1" t="inlineStr">
        <is>
          <t>합성 I₂/I₁</t>
        </is>
      </c>
      <c r="E1" t="inlineStr">
        <is>
          <t>기대/I₂_In</t>
        </is>
      </c>
      <c r="F1" t="inlineStr">
        <is>
          <t>편차 %</t>
        </is>
      </c>
      <c r="G1" t="inlineStr">
        <is>
          <t>등급</t>
        </is>
      </c>
      <c r="H1" t="inlineStr">
        <is>
          <t>종합</t>
        </is>
      </c>
      <c r="I1" t="inlineStr">
        <is>
          <t>원인</t>
        </is>
      </c>
    </row>
    <row r="2">
      <c r="A2" t="inlineStr">
        <is>
          <t>inherent_angle</t>
        </is>
      </c>
      <c r="B2" t="n">
        <v>0</v>
      </c>
      <c r="C2" t="inlineStr">
        <is>
          <t>itsc_4turn</t>
        </is>
      </c>
      <c r="D2" t="n">
        <v>0.07262</v>
      </c>
      <c r="E2" t="n">
        <v>0.072474</v>
      </c>
      <c r="F2" t="n">
        <v>0.201</v>
      </c>
      <c r="G2" t="inlineStr">
        <is>
          <t>WARN</t>
        </is>
      </c>
      <c r="H2" t="inlineStr">
        <is>
          <t>WARN</t>
        </is>
      </c>
      <c r="I2" t="inlineStr">
        <is>
          <t>i2i1</t>
        </is>
      </c>
    </row>
    <row r="3">
      <c r="A3" t="inlineStr">
        <is>
          <t>inherent_angle</t>
        </is>
      </c>
      <c r="B3" t="n">
        <v>0</v>
      </c>
      <c r="C3" t="inlineStr">
        <is>
          <t>itsc_4turn_resistive</t>
        </is>
      </c>
      <c r="D3" t="n">
        <v>0.03244</v>
      </c>
      <c r="E3" t="n">
        <v>0.032413</v>
      </c>
      <c r="F3" t="n">
        <v>0.083</v>
      </c>
      <c r="G3" t="inlineStr">
        <is>
          <t>SAFE</t>
        </is>
      </c>
      <c r="H3" t="inlineStr">
        <is>
          <t>SAFE</t>
        </is>
      </c>
      <c r="I3" t="inlineStr">
        <is>
          <t>-</t>
        </is>
      </c>
    </row>
    <row r="4">
      <c r="A4" t="inlineStr">
        <is>
          <t>inherent_angle</t>
        </is>
      </c>
      <c r="B4" t="n">
        <v>0</v>
      </c>
      <c r="C4" t="inlineStr">
        <is>
          <t>healthy</t>
        </is>
      </c>
      <c r="D4" t="n">
        <v>0.027</v>
      </c>
      <c r="E4" t="n">
        <v>0.027</v>
      </c>
      <c r="F4" t="n">
        <v>0</v>
      </c>
      <c r="G4" t="inlineStr">
        <is>
          <t>SAFE</t>
        </is>
      </c>
      <c r="H4" t="inlineStr">
        <is>
          <t>SAFE</t>
        </is>
      </c>
      <c r="I4" t="inlineStr">
        <is>
          <t>-</t>
        </is>
      </c>
    </row>
    <row r="5">
      <c r="A5" t="inlineStr">
        <is>
          <t>inherent_angle</t>
        </is>
      </c>
      <c r="B5" t="n">
        <v>90</v>
      </c>
      <c r="C5" t="inlineStr">
        <is>
          <t>itsc_4turn</t>
        </is>
      </c>
      <c r="D5" t="n">
        <v>0.06834</v>
      </c>
      <c r="E5" t="n">
        <v>0.068193</v>
      </c>
      <c r="F5" t="n">
        <v>0.216</v>
      </c>
      <c r="G5" t="inlineStr">
        <is>
          <t>WARN</t>
        </is>
      </c>
      <c r="H5" t="inlineStr">
        <is>
          <t>WARN</t>
        </is>
      </c>
      <c r="I5" t="inlineStr">
        <is>
          <t>i2i1</t>
        </is>
      </c>
    </row>
    <row r="6">
      <c r="A6" t="inlineStr">
        <is>
          <t>inherent_angle</t>
        </is>
      </c>
      <c r="B6" t="n">
        <v>90</v>
      </c>
      <c r="C6" t="inlineStr">
        <is>
          <t>itsc_4turn_resistive</t>
        </is>
      </c>
      <c r="D6" t="n">
        <v>0.03141</v>
      </c>
      <c r="E6" t="n">
        <v>0.031386</v>
      </c>
      <c r="F6" t="n">
        <v>0.076</v>
      </c>
      <c r="G6" t="inlineStr">
        <is>
          <t>SAFE</t>
        </is>
      </c>
      <c r="H6" t="inlineStr">
        <is>
          <t>SAFE</t>
        </is>
      </c>
      <c r="I6" t="inlineStr">
        <is>
          <t>-</t>
        </is>
      </c>
    </row>
    <row r="7">
      <c r="A7" t="inlineStr">
        <is>
          <t>inherent_angle</t>
        </is>
      </c>
      <c r="B7" t="n">
        <v>90</v>
      </c>
      <c r="C7" t="inlineStr">
        <is>
          <t>healthy</t>
        </is>
      </c>
      <c r="D7" t="n">
        <v>0.027</v>
      </c>
      <c r="E7" t="n">
        <v>0.027</v>
      </c>
      <c r="F7" t="n">
        <v>0</v>
      </c>
      <c r="G7" t="inlineStr">
        <is>
          <t>SAFE</t>
        </is>
      </c>
      <c r="H7" t="inlineStr">
        <is>
          <t>SAFE</t>
        </is>
      </c>
      <c r="I7" t="inlineStr">
        <is>
          <t>-</t>
        </is>
      </c>
    </row>
    <row r="8">
      <c r="A8" t="inlineStr">
        <is>
          <t>inherent_angle</t>
        </is>
      </c>
      <c r="B8" t="n">
        <v>180</v>
      </c>
      <c r="C8" t="inlineStr">
        <is>
          <t>itsc_4turn</t>
        </is>
      </c>
      <c r="D8" t="n">
        <v>0.0313</v>
      </c>
      <c r="E8" t="n">
        <v>0.031167</v>
      </c>
      <c r="F8" t="n">
        <v>0.427</v>
      </c>
      <c r="G8" t="inlineStr">
        <is>
          <t>SAFE</t>
        </is>
      </c>
      <c r="H8" t="inlineStr">
        <is>
          <t>SAFE</t>
        </is>
      </c>
      <c r="I8" t="inlineStr">
        <is>
          <t>-</t>
        </is>
      </c>
    </row>
    <row r="9">
      <c r="A9" t="inlineStr">
        <is>
          <t>inherent_angle</t>
        </is>
      </c>
      <c r="B9" t="n">
        <v>180</v>
      </c>
      <c r="C9" t="inlineStr">
        <is>
          <t>itsc_4turn_resistive</t>
        </is>
      </c>
      <c r="D9" t="n">
        <v>0.02217</v>
      </c>
      <c r="E9" t="n">
        <v>0.022185</v>
      </c>
      <c r="F9" t="n">
        <v>-0.068</v>
      </c>
      <c r="G9" t="inlineStr">
        <is>
          <t>SAFE</t>
        </is>
      </c>
      <c r="H9" t="inlineStr">
        <is>
          <t>SAFE</t>
        </is>
      </c>
      <c r="I9" t="inlineStr">
        <is>
          <t>-</t>
        </is>
      </c>
    </row>
    <row r="10">
      <c r="A10" t="inlineStr">
        <is>
          <t>inherent_angle</t>
        </is>
      </c>
      <c r="B10" t="n">
        <v>180</v>
      </c>
      <c r="C10" t="inlineStr">
        <is>
          <t>healthy</t>
        </is>
      </c>
      <c r="D10" t="n">
        <v>0.027</v>
      </c>
      <c r="E10" t="n">
        <v>0.027</v>
      </c>
      <c r="F10" t="n">
        <v>0</v>
      </c>
      <c r="G10" t="inlineStr">
        <is>
          <t>SAFE</t>
        </is>
      </c>
      <c r="H10" t="inlineStr">
        <is>
          <t>SAFE</t>
        </is>
      </c>
      <c r="I10" t="inlineStr">
        <is>
          <t>-</t>
        </is>
      </c>
    </row>
    <row r="11">
      <c r="A11" t="inlineStr">
        <is>
          <t>load</t>
        </is>
      </c>
      <c r="B11" t="n">
        <v>1</v>
      </c>
      <c r="C11" t="inlineStr">
        <is>
          <t>itsc_4turn</t>
        </is>
      </c>
      <c r="D11" t="n">
        <v>0.07262</v>
      </c>
      <c r="E11" t="n">
        <v>0.07262</v>
      </c>
    </row>
    <row r="12">
      <c r="A12" t="inlineStr">
        <is>
          <t>load</t>
        </is>
      </c>
      <c r="B12" t="n">
        <v>0.5</v>
      </c>
      <c r="C12" t="inlineStr">
        <is>
          <t>itsc_4turn_halfload</t>
        </is>
      </c>
      <c r="D12" t="n">
        <v>0.09529</v>
      </c>
      <c r="E12" t="n">
        <v>0.04765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시나리오</t>
        </is>
      </c>
      <c r="B1" t="inlineStr">
        <is>
          <t>주입 전</t>
        </is>
      </c>
      <c r="C1" t="inlineStr">
        <is>
          <t>끝</t>
        </is>
      </c>
      <c r="D1" t="inlineStr">
        <is>
          <t>ΔT 시뮬</t>
        </is>
      </c>
      <c r="E1" t="inlineStr">
        <is>
          <t>ΔT 역산</t>
        </is>
      </c>
      <c r="F1" t="inlineStr">
        <is>
          <t>편차 % (수식)</t>
        </is>
      </c>
      <c r="G1" t="inlineStr">
        <is>
          <t>판정 (±5 %)</t>
        </is>
      </c>
      <c r="H1" t="inlineStr">
        <is>
          <t>시뮬 분</t>
        </is>
      </c>
      <c r="I1" t="inlineStr">
        <is>
          <t>P_loop W</t>
        </is>
      </c>
    </row>
    <row r="2">
      <c r="A2" t="inlineStr">
        <is>
          <t>itsc_4turn</t>
        </is>
      </c>
      <c r="B2" t="n">
        <v>42.383</v>
      </c>
      <c r="C2" t="n">
        <v>69.72</v>
      </c>
      <c r="D2" t="n">
        <v>44.72</v>
      </c>
      <c r="E2" t="n">
        <v>44.72</v>
      </c>
      <c r="F2">
        <f>(D2/E2-1)*100</f>
        <v/>
      </c>
      <c r="G2">
        <f>IF(ABS(F2)&lt;=5,"PASS","FAIL")</f>
        <v/>
      </c>
      <c r="H2" t="n">
        <v>299.9</v>
      </c>
      <c r="I2" t="n">
        <v>158.1</v>
      </c>
    </row>
    <row r="3">
      <c r="A3" t="inlineStr">
        <is>
          <t>itsc_12turn</t>
        </is>
      </c>
      <c r="B3" t="n">
        <v>42.38</v>
      </c>
      <c r="C3" t="n">
        <v>191.262</v>
      </c>
      <c r="D3" t="n">
        <v>166.262</v>
      </c>
      <c r="E3" t="n">
        <v>166.264</v>
      </c>
      <c r="F3">
        <f>(D3/E3-1)*100</f>
        <v/>
      </c>
      <c r="G3">
        <f>IF(ABS(F3)&lt;=5,"PASS","FAIL")</f>
        <v/>
      </c>
      <c r="H3" t="n">
        <v>299.9</v>
      </c>
      <c r="I3" t="n">
        <v>977.46</v>
      </c>
    </row>
    <row r="4">
      <c r="A4" t="inlineStr">
        <is>
          <t>itsc_16turn</t>
        </is>
      </c>
      <c r="B4" t="n">
        <v>42.378</v>
      </c>
      <c r="C4" t="n">
        <v>272.409</v>
      </c>
      <c r="D4" t="n">
        <v>247.409</v>
      </c>
      <c r="E4" t="n">
        <v>247.412</v>
      </c>
      <c r="F4">
        <f>(D4/E4-1)*100</f>
        <v/>
      </c>
      <c r="G4">
        <f>IF(ABS(F4)&lt;=5,"PASS","FAIL")</f>
        <v/>
      </c>
      <c r="H4" t="n">
        <v>300</v>
      </c>
      <c r="I4" t="n">
        <v>1523.26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2026-10-21T07:00:19Z</dcterms:created>
  <dcterms:modified xsi:type="dcterms:W3CDTF">2026-10-21T07:00:19Z</dcterms:modified>
</cp:coreProperties>
</file>