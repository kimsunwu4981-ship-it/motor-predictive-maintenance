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설계값(라이브)" sheetId="2" state="visible" r:id="rId4"/>
    <sheet name="카탈로그 직접값" sheetId="3" state="visible" r:id="rId5"/>
    <sheet name="로터슬롯 선정근거" sheetId="4" state="visible" r:id="rId6"/>
    <sheet name="RMxprt 입력표" sheetId="5" state="visible" r:id="rId7"/>
    <sheet name="ITSC 케이스" sheetId="6" state="visible" r:id="rId8"/>
    <sheet name="MCSA·진동 주파수" sheetId="7" state="visible" r:id="rId9"/>
    <sheet name="권선 배치표" sheetId="8" state="visible" r:id="rId10"/>
    <sheet name="해석 설정(3D)" sheetId="9" state="visible" r:id="rId11"/>
    <sheet name="출력 변수·회로" sheetId="10" state="visible" r:id="rId12"/>
    <sheet name="현장확인 체크리스트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<sst xmlns="http://schemas.openxmlformats.org/spreadsheetml/2006/main" count="1668" uniqueCount="956">
  <si>
    <r>
      <rPr>
        <b val="true"/>
        <sz val="14"/>
        <rFont val="Arial"/>
        <family val="0"/>
        <charset val="1"/>
      </rPr>
      <t xml:space="preserve">M1 </t>
    </r>
    <r>
      <rPr>
        <b val="true"/>
        <sz val="14"/>
        <rFont val="Noto Sans CJK SC"/>
        <family val="2"/>
      </rPr>
      <t xml:space="preserve">디지털트윈</t>
    </r>
    <r>
      <rPr>
        <b val="true"/>
        <sz val="14"/>
        <rFont val="Arial"/>
        <family val="0"/>
        <charset val="1"/>
      </rPr>
      <t xml:space="preserve">·Maxwell 3D</t>
    </r>
    <r>
      <rPr>
        <b val="true"/>
        <sz val="14"/>
        <rFont val="Noto Sans CJK SC"/>
        <family val="2"/>
      </rPr>
      <t xml:space="preserve">용 전체 데이터 시트 — 현대 </t>
    </r>
    <r>
      <rPr>
        <b val="true"/>
        <sz val="14"/>
        <rFont val="Arial"/>
        <family val="0"/>
        <charset val="1"/>
      </rPr>
      <t xml:space="preserve">SSEN HLP-2.2/4, </t>
    </r>
    <r>
      <rPr>
        <b val="true"/>
        <sz val="14"/>
        <rFont val="Noto Sans CJK SC"/>
        <family val="2"/>
      </rPr>
      <t xml:space="preserve">스큐 설계 확정판 </t>
    </r>
    <r>
      <rPr>
        <b val="true"/>
        <sz val="14"/>
        <rFont val="Arial"/>
        <family val="0"/>
        <charset val="1"/>
      </rPr>
      <t xml:space="preserve">(v3)</t>
    </r>
  </si>
  <si>
    <r>
      <rPr>
        <i val="true"/>
        <sz val="10"/>
        <rFont val="Arial"/>
        <family val="0"/>
        <charset val="1"/>
      </rPr>
      <t xml:space="preserve">AI Hub L-SF-04 (2.2 kW 4P 1760 rpm 4.7 A, 6206/6206) </t>
    </r>
    <r>
      <rPr>
        <i val="true"/>
        <sz val="10"/>
        <rFont val="Noto Sans CJK SC"/>
        <family val="2"/>
      </rPr>
      <t xml:space="preserve">와 명판 </t>
    </r>
    <r>
      <rPr>
        <i val="true"/>
        <sz val="10"/>
        <rFont val="Arial"/>
        <family val="0"/>
        <charset val="1"/>
      </rPr>
      <t xml:space="preserve">3</t>
    </r>
    <r>
      <rPr>
        <i val="true"/>
        <sz val="10"/>
        <rFont val="Noto Sans CJK SC"/>
        <family val="2"/>
      </rPr>
      <t xml:space="preserve">값 일치 → 같은 모터로 취급</t>
    </r>
  </si>
  <si>
    <t xml:space="preserve">구분</t>
  </si>
  <si>
    <t xml:space="preserve">내용</t>
  </si>
  <si>
    <r>
      <rPr>
        <b val="true"/>
        <sz val="10"/>
        <color rgb="FFFFFFFF"/>
        <rFont val="Noto Sans CJK SC"/>
        <family val="2"/>
      </rPr>
      <t xml:space="preserve">값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라이브 링크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</si>
  <si>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</si>
  <si>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t xml:space="preserve">확정 설계</t>
  </si>
  <si>
    <r>
      <rPr>
        <sz val="10"/>
        <rFont val="Noto Sans CJK SC"/>
        <family val="2"/>
      </rPr>
      <t xml:space="preserve">고정자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로터 슬롯 수</t>
    </r>
  </si>
  <si>
    <r>
      <rPr>
        <sz val="10"/>
        <rFont val="Noto Sans CJK SC"/>
        <family val="2"/>
      </rPr>
      <t xml:space="preserve">스큐 전제 최적 조합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후보 </t>
    </r>
    <r>
      <rPr>
        <sz val="10"/>
        <rFont val="Arial"/>
        <family val="0"/>
        <charset val="1"/>
      </rPr>
      <t xml:space="preserve">{26,28,44,46} </t>
    </r>
    <r>
      <rPr>
        <sz val="10"/>
        <rFont val="Noto Sans CJK SC"/>
        <family val="2"/>
      </rPr>
      <t xml:space="preserve">중 </t>
    </r>
    <r>
      <rPr>
        <sz val="10"/>
        <rFont val="Arial"/>
        <family val="0"/>
        <charset val="1"/>
      </rPr>
      <t xml:space="preserve">28 — </t>
    </r>
    <r>
      <rPr>
        <sz val="10"/>
        <rFont val="Noto Sans CJK SC"/>
        <family val="2"/>
      </rPr>
      <t xml:space="preserve">「로터슬롯 선정근거」</t>
    </r>
  </si>
  <si>
    <t xml:space="preserve">로터 스큐</t>
  </si>
  <si>
    <r>
      <rPr>
        <sz val="10"/>
        <rFont val="Noto Sans CJK SC"/>
        <family val="2"/>
      </rPr>
      <t xml:space="preserve">바 기울기 ≈ </t>
    </r>
    <r>
      <rPr>
        <sz val="10"/>
        <rFont val="Arial"/>
        <family val="0"/>
        <charset val="1"/>
      </rPr>
      <t xml:space="preserve">3.6°</t>
    </r>
  </si>
  <si>
    <t xml:space="preserve">권선</t>
  </si>
  <si>
    <t xml:space="preserve">N_ph = </t>
  </si>
  <si>
    <t xml:space="preserve">상당 직렬 턴수</t>
  </si>
  <si>
    <r>
      <rPr>
        <sz val="10"/>
        <rFont val="Arial"/>
        <family val="0"/>
        <charset val="1"/>
      </rPr>
      <t xml:space="preserve">ITSC </t>
    </r>
    <r>
      <rPr>
        <sz val="10"/>
        <rFont val="Noto Sans CJK SC"/>
        <family val="2"/>
      </rPr>
      <t xml:space="preserve">비율 정의의 분모</t>
    </r>
  </si>
  <si>
    <t xml:space="preserve">코어</t>
  </si>
  <si>
    <t xml:space="preserve">검산</t>
  </si>
  <si>
    <r>
      <rPr>
        <sz val="10"/>
        <rFont val="Noto Sans CJK SC"/>
        <family val="2"/>
      </rPr>
      <t xml:space="preserve">효율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계산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카탈로그 </t>
    </r>
    <r>
      <rPr>
        <sz val="10"/>
        <rFont val="Arial"/>
        <family val="0"/>
        <charset val="1"/>
      </rPr>
      <t xml:space="preserve">89.5 %)</t>
    </r>
  </si>
  <si>
    <r>
      <rPr>
        <sz val="10"/>
        <rFont val="Arial"/>
        <family val="0"/>
        <charset val="1"/>
      </rPr>
      <t xml:space="preserve">±0.3 %p </t>
    </r>
    <r>
      <rPr>
        <sz val="10"/>
        <rFont val="Noto Sans CJK SC"/>
        <family val="2"/>
      </rPr>
      <t xml:space="preserve">이내 정합</t>
    </r>
  </si>
  <si>
    <r>
      <rPr>
        <sz val="10"/>
        <rFont val="Noto Sans CJK SC"/>
        <family val="2"/>
      </rPr>
      <t xml:space="preserve">로터 관성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치수 계산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카탈로그 </t>
    </r>
    <r>
      <rPr>
        <sz val="10"/>
        <rFont val="Arial"/>
        <family val="0"/>
        <charset val="1"/>
      </rPr>
      <t xml:space="preserve">0.008)</t>
    </r>
  </si>
  <si>
    <r>
      <rPr>
        <sz val="10"/>
        <rFont val="Arial"/>
        <family val="0"/>
        <charset val="1"/>
      </rPr>
      <t xml:space="preserve">±20 % </t>
    </r>
    <r>
      <rPr>
        <sz val="10"/>
        <rFont val="Noto Sans CJK SC"/>
        <family val="2"/>
      </rPr>
      <t xml:space="preserve">이내면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정합</t>
    </r>
  </si>
  <si>
    <r>
      <rPr>
        <sz val="10"/>
        <rFont val="Noto Sans CJK SC"/>
        <family val="2"/>
      </rPr>
      <t xml:space="preserve">자화 전류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계산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무효전류 </t>
    </r>
    <r>
      <rPr>
        <sz val="10"/>
        <rFont val="Arial"/>
        <family val="0"/>
        <charset val="1"/>
      </rPr>
      <t xml:space="preserve">2.90 A)</t>
    </r>
  </si>
  <si>
    <t xml:space="preserve">이하이면 역률 정합</t>
  </si>
  <si>
    <r>
      <rPr>
        <sz val="10"/>
        <rFont val="Noto Sans CJK SC"/>
        <family val="2"/>
      </rPr>
      <t xml:space="preserve">바 단면 정합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슬롯 − 요구</t>
    </r>
    <r>
      <rPr>
        <sz val="10"/>
        <rFont val="Arial"/>
        <family val="0"/>
        <charset val="1"/>
      </rPr>
      <t xml:space="preserve">)</t>
    </r>
  </si>
  <si>
    <t xml:space="preserve">±3 %</t>
  </si>
  <si>
    <t xml:space="preserve">MCSA</t>
  </si>
  <si>
    <r>
      <rPr>
        <sz val="10"/>
        <rFont val="Noto Sans CJK SC"/>
        <family val="2"/>
      </rPr>
      <t xml:space="preserve">로터 슬롯 고조파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정격 슬립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</si>
  <si>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Q_r </t>
    </r>
    <r>
      <rPr>
        <sz val="10"/>
        <rFont val="Noto Sans CJK SC"/>
        <family val="2"/>
      </rPr>
      <t xml:space="preserve">판별용</t>
    </r>
  </si>
  <si>
    <t xml:space="preserve">등급 집계</t>
  </si>
  <si>
    <t xml:space="preserve">카탈로그 직접값</t>
  </si>
  <si>
    <r>
      <rPr>
        <sz val="10"/>
        <rFont val="Noto Sans CJK SC"/>
        <family val="2"/>
      </rPr>
      <t xml:space="preserve">계산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</si>
  <si>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표준값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규격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핸드북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</si>
  <si>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설계선택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성능 정합</t>
    </r>
    <r>
      <rPr>
        <sz val="10"/>
        <rFont val="Arial"/>
        <family val="0"/>
        <charset val="1"/>
      </rPr>
      <t xml:space="preserve">)</t>
    </r>
  </si>
  <si>
    <t xml:space="preserve">현장 확인 필요</t>
  </si>
  <si>
    <r>
      <rPr>
        <sz val="10"/>
        <rFont val="Arial"/>
        <family val="0"/>
        <charset val="1"/>
      </rPr>
      <t xml:space="preserve">Q_r·</t>
    </r>
    <r>
      <rPr>
        <sz val="10"/>
        <rFont val="Noto Sans CJK SC"/>
        <family val="2"/>
      </rPr>
      <t xml:space="preserve">스큐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턴수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병렬회로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베어링</t>
    </r>
  </si>
  <si>
    <r>
      <rPr>
        <i val="true"/>
        <sz val="9"/>
        <rFont val="Noto Sans CJK SC"/>
        <family val="2"/>
      </rPr>
      <t xml:space="preserve">시트 구성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설계값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라이브</t>
    </r>
    <r>
      <rPr>
        <i val="true"/>
        <sz val="9"/>
        <rFont val="Arial"/>
        <family val="0"/>
        <charset val="1"/>
      </rPr>
      <t xml:space="preserve">) → RMxprt </t>
    </r>
    <r>
      <rPr>
        <i val="true"/>
        <sz val="9"/>
        <rFont val="Noto Sans CJK SC"/>
        <family val="2"/>
      </rPr>
      <t xml:space="preserve">입력표 </t>
    </r>
    <r>
      <rPr>
        <i val="true"/>
        <sz val="9"/>
        <rFont val="Arial"/>
        <family val="0"/>
        <charset val="1"/>
      </rPr>
      <t xml:space="preserve">/ ITSC </t>
    </r>
    <r>
      <rPr>
        <i val="true"/>
        <sz val="9"/>
        <rFont val="Noto Sans CJK SC"/>
        <family val="2"/>
      </rPr>
      <t xml:space="preserve">케이스 </t>
    </r>
    <r>
      <rPr>
        <i val="true"/>
        <sz val="9"/>
        <rFont val="Arial"/>
        <family val="0"/>
        <charset val="1"/>
      </rPr>
      <t xml:space="preserve">/ MCSA·</t>
    </r>
    <r>
      <rPr>
        <i val="true"/>
        <sz val="9"/>
        <rFont val="Noto Sans CJK SC"/>
        <family val="2"/>
      </rPr>
      <t xml:space="preserve">진동 주파수 가 자동 연동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카탈로그 직접값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로터슬롯 선정근거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현장확인 체크리스트는 정적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</si>
  <si>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Maxwell 3D </t>
    </r>
    <r>
      <rPr>
        <b val="true"/>
        <sz val="10"/>
        <rFont val="Noto Sans CJK SC"/>
        <family val="2"/>
      </rPr>
      <t xml:space="preserve">구현 충족 여부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이 시트만으로 되는가</t>
    </r>
    <r>
      <rPr>
        <b val="true"/>
        <sz val="10"/>
        <rFont val="Arial"/>
        <family val="0"/>
        <charset val="1"/>
      </rPr>
      <t xml:space="preserve">)</t>
    </r>
  </si>
  <si>
    <t xml:space="preserve">필요 블록</t>
  </si>
  <si>
    <t xml:space="preserve">충족</t>
  </si>
  <si>
    <t xml:space="preserve">시트</t>
  </si>
  <si>
    <r>
      <rPr>
        <sz val="10"/>
        <rFont val="Arial"/>
        <family val="0"/>
        <charset val="1"/>
      </rPr>
      <t xml:space="preserve">RMxprt </t>
    </r>
    <r>
      <rPr>
        <sz val="10"/>
        <rFont val="Noto Sans CJK SC"/>
        <family val="2"/>
      </rPr>
      <t xml:space="preserve">모델 생성 입력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지오메트리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슬롯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권선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로터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스큐</t>
    </r>
    <r>
      <rPr>
        <sz val="10"/>
        <rFont val="Arial"/>
        <family val="0"/>
        <charset val="1"/>
      </rPr>
      <t xml:space="preserve">)</t>
    </r>
  </si>
  <si>
    <t xml:space="preserve">✓</t>
  </si>
  <si>
    <r>
      <rPr>
        <sz val="10"/>
        <rFont val="Arial"/>
        <family val="0"/>
        <charset val="1"/>
      </rPr>
      <t xml:space="preserve">RMxprt </t>
    </r>
    <r>
      <rPr>
        <sz val="10"/>
        <rFont val="Noto Sans CJK SC"/>
        <family val="2"/>
      </rPr>
      <t xml:space="preserve">입력표</t>
    </r>
  </si>
  <si>
    <r>
      <rPr>
        <sz val="10"/>
        <rFont val="Arial"/>
        <family val="0"/>
        <charset val="1"/>
      </rPr>
      <t xml:space="preserve">RMxprt → Create Maxwell Design (3D) </t>
    </r>
    <r>
      <rPr>
        <sz val="10"/>
        <rFont val="Noto Sans CJK SC"/>
        <family val="2"/>
      </rPr>
      <t xml:space="preserve">로 자동 생성</t>
    </r>
  </si>
  <si>
    <r>
      <rPr>
        <sz val="10"/>
        <rFont val="Noto Sans CJK SC"/>
        <family val="2"/>
      </rPr>
      <t xml:space="preserve">권선 배치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결함 코일 위치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분할 비율</t>
    </r>
  </si>
  <si>
    <r>
      <rPr>
        <sz val="10"/>
        <rFont val="Noto Sans CJK SC"/>
        <family val="2"/>
      </rPr>
      <t xml:space="preserve">권선 배치표</t>
    </r>
    <r>
      <rPr>
        <sz val="10"/>
        <rFont val="Arial"/>
        <family val="0"/>
        <charset val="1"/>
      </rPr>
      <t xml:space="preserve">, ITSC </t>
    </r>
    <r>
      <rPr>
        <sz val="10"/>
        <rFont val="Noto Sans CJK SC"/>
        <family val="2"/>
      </rPr>
      <t xml:space="preserve">케이스</t>
    </r>
  </si>
  <si>
    <r>
      <rPr>
        <sz val="10"/>
        <rFont val="Arial"/>
        <family val="0"/>
        <charset val="1"/>
      </rPr>
      <t xml:space="preserve">Coil_1 </t>
    </r>
    <r>
      <rPr>
        <sz val="10"/>
        <rFont val="Noto Sans CJK SC"/>
        <family val="2"/>
      </rPr>
      <t xml:space="preserve">분할 → </t>
    </r>
    <r>
      <rPr>
        <sz val="10"/>
        <rFont val="Arial"/>
        <family val="0"/>
        <charset val="1"/>
      </rPr>
      <t xml:space="preserve">FaultLoop</t>
    </r>
  </si>
  <si>
    <r>
      <rPr>
        <sz val="10"/>
        <rFont val="Noto Sans CJK SC"/>
        <family val="2"/>
      </rPr>
      <t xml:space="preserve">케이스별 속도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슬립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메시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솔버 설정</t>
    </r>
  </si>
  <si>
    <r>
      <rPr>
        <sz val="10"/>
        <rFont val="Noto Sans CJK SC"/>
        <family val="2"/>
      </rPr>
      <t xml:space="preserve">해석 설정</t>
    </r>
    <r>
      <rPr>
        <sz val="10"/>
        <rFont val="Arial"/>
        <family val="0"/>
        <charset val="1"/>
      </rPr>
      <t xml:space="preserve">(3D)</t>
    </r>
  </si>
  <si>
    <r>
      <rPr>
        <sz val="10"/>
        <rFont val="Noto Sans CJK SC"/>
        <family val="2"/>
      </rPr>
      <t xml:space="preserve">외부 회로 넷리스트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결함 가지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저항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</si>
  <si>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출력 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회로</t>
    </r>
  </si>
  <si>
    <r>
      <rPr>
        <sz val="10"/>
        <rFont val="Arial"/>
        <family val="0"/>
        <charset val="1"/>
      </rPr>
      <t xml:space="preserve">Circuit Editor </t>
    </r>
    <r>
      <rPr>
        <sz val="10"/>
        <rFont val="Noto Sans CJK SC"/>
        <family val="2"/>
      </rPr>
      <t xml:space="preserve">에서 구성</t>
    </r>
  </si>
  <si>
    <r>
      <rPr>
        <sz val="10"/>
        <rFont val="Noto Sans CJK SC"/>
        <family val="2"/>
      </rPr>
      <t xml:space="preserve">출력 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내보내기 계약</t>
    </r>
  </si>
  <si>
    <r>
      <rPr>
        <sz val="10"/>
        <rFont val="Arial"/>
        <family val="0"/>
        <charset val="1"/>
      </rPr>
      <t xml:space="preserve">PyAEDT </t>
    </r>
    <r>
      <rPr>
        <sz val="10"/>
        <rFont val="Noto Sans CJK SC"/>
        <family val="2"/>
      </rPr>
      <t xml:space="preserve">스크립트는 별도</t>
    </r>
  </si>
  <si>
    <r>
      <rPr>
        <sz val="10"/>
        <rFont val="Noto Sans CJK SC"/>
        <family val="2"/>
      </rPr>
      <t xml:space="preserve">전기강판 </t>
    </r>
    <r>
      <rPr>
        <sz val="10"/>
        <rFont val="Arial"/>
        <family val="0"/>
        <charset val="1"/>
      </rPr>
      <t xml:space="preserve">B-H </t>
    </r>
    <r>
      <rPr>
        <sz val="10"/>
        <rFont val="Noto Sans CJK SC"/>
        <family val="2"/>
      </rPr>
      <t xml:space="preserve">곡선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코어손 계수</t>
    </r>
  </si>
  <si>
    <t xml:space="preserve">△</t>
  </si>
  <si>
    <r>
      <rPr>
        <sz val="10"/>
        <rFont val="Noto Sans CJK SC"/>
        <family val="2"/>
      </rPr>
      <t xml:space="preserve">해석 설정</t>
    </r>
    <r>
      <rPr>
        <sz val="10"/>
        <rFont val="Arial"/>
        <family val="0"/>
        <charset val="1"/>
      </rPr>
      <t xml:space="preserve">(3D) </t>
    </r>
    <r>
      <rPr>
        <sz val="10"/>
        <rFont val="Noto Sans CJK SC"/>
        <family val="2"/>
      </rPr>
      <t xml:space="preserve">재질</t>
    </r>
  </si>
  <si>
    <r>
      <rPr>
        <sz val="10"/>
        <rFont val="Noto Sans CJK SC"/>
        <family val="2"/>
      </rPr>
      <t xml:space="preserve">★ 곡선 데이터 미보유 — </t>
    </r>
    <r>
      <rPr>
        <sz val="10"/>
        <rFont val="Arial"/>
        <family val="0"/>
        <charset val="1"/>
      </rPr>
      <t xml:space="preserve">Maxwell </t>
    </r>
    <r>
      <rPr>
        <sz val="10"/>
        <rFont val="Noto Sans CJK SC"/>
        <family val="2"/>
      </rPr>
      <t xml:space="preserve">라이브러리 </t>
    </r>
    <r>
      <rPr>
        <sz val="10"/>
        <rFont val="Arial"/>
        <family val="0"/>
        <charset val="1"/>
      </rPr>
      <t xml:space="preserve">M400-50A </t>
    </r>
    <r>
      <rPr>
        <sz val="10"/>
        <rFont val="Noto Sans CJK SC"/>
        <family val="2"/>
      </rPr>
      <t xml:space="preserve">또는 강판사 데이터시트 필요</t>
    </r>
  </si>
  <si>
    <r>
      <rPr>
        <sz val="10"/>
        <rFont val="Noto Sans CJK SC"/>
        <family val="2"/>
      </rPr>
      <t xml:space="preserve">실측 확정값 </t>
    </r>
    <r>
      <rPr>
        <sz val="10"/>
        <rFont val="Arial"/>
        <family val="0"/>
        <charset val="1"/>
      </rPr>
      <t xml:space="preserve">(Q_r·</t>
    </r>
    <r>
      <rPr>
        <sz val="10"/>
        <rFont val="Noto Sans CJK SC"/>
        <family val="2"/>
      </rPr>
      <t xml:space="preserve">스큐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턴수</t>
    </r>
    <r>
      <rPr>
        <sz val="10"/>
        <rFont val="Arial"/>
        <family val="0"/>
        <charset val="1"/>
      </rPr>
      <t xml:space="preserve">)</t>
    </r>
  </si>
  <si>
    <t xml:space="preserve">현장확인 체크리스트</t>
  </si>
  <si>
    <r>
      <rPr>
        <sz val="10"/>
        <rFont val="Noto Sans CJK SC"/>
        <family val="2"/>
      </rPr>
      <t xml:space="preserve">가정값으로 구현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확인 후 교체</t>
    </r>
  </si>
  <si>
    <r>
      <rPr>
        <b val="true"/>
        <sz val="14"/>
        <rFont val="Arial"/>
        <family val="0"/>
        <charset val="1"/>
      </rPr>
      <t xml:space="preserve">M1 = </t>
    </r>
    <r>
      <rPr>
        <b val="true"/>
        <sz val="14"/>
        <rFont val="Noto Sans CJK SC"/>
        <family val="2"/>
      </rPr>
      <t xml:space="preserve">현대 </t>
    </r>
    <r>
      <rPr>
        <b val="true"/>
        <sz val="14"/>
        <rFont val="Arial"/>
        <family val="0"/>
        <charset val="1"/>
      </rPr>
      <t xml:space="preserve">SSEN HLP-2.2/4 (100L, 4P) — </t>
    </r>
    <r>
      <rPr>
        <b val="true"/>
        <sz val="14"/>
        <rFont val="Noto Sans CJK SC"/>
        <family val="2"/>
      </rPr>
      <t xml:space="preserve">스큐 설계 확정판 설계값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라이브 계산 체인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</si>
  <si>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rFont val="Noto Sans CJK SC"/>
        <family val="2"/>
      </rPr>
      <t xml:space="preserve">셀 색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연두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카탈로그 직접값 </t>
    </r>
    <r>
      <rPr>
        <i val="true"/>
        <sz val="9"/>
        <rFont val="Arial"/>
        <family val="0"/>
        <charset val="1"/>
      </rPr>
      <t xml:space="preserve">/ </t>
    </r>
    <r>
      <rPr>
        <i val="true"/>
        <sz val="9"/>
        <rFont val="Noto Sans CJK SC"/>
        <family val="2"/>
      </rPr>
      <t xml:space="preserve">노랑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표준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설계선택 입력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수정 가능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Noto Sans CJK SC"/>
        <family val="2"/>
      </rPr>
      <t xml:space="preserve">파란 글씨</t>
    </r>
    <r>
      <rPr>
        <i val="true"/>
        <sz val="9"/>
        <rFont val="Arial"/>
        <family val="0"/>
        <charset val="1"/>
      </rPr>
      <t xml:space="preserve">) / </t>
    </r>
    <r>
      <rPr>
        <i val="true"/>
        <sz val="9"/>
        <rFont val="Noto Sans CJK SC"/>
        <family val="2"/>
      </rPr>
      <t xml:space="preserve">흰색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수식 계산 </t>
    </r>
    <r>
      <rPr>
        <i val="true"/>
        <sz val="9"/>
        <rFont val="Arial"/>
        <family val="0"/>
        <charset val="1"/>
      </rPr>
      <t xml:space="preserve">/ </t>
    </r>
    <r>
      <rPr>
        <i val="true"/>
        <sz val="9"/>
        <rFont val="Noto Sans CJK SC"/>
        <family val="2"/>
      </rPr>
      <t xml:space="preserve">주황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현장 확인 필요</t>
    </r>
    <r>
      <rPr>
        <i val="true"/>
        <sz val="9"/>
        <rFont val="Arial"/>
        <family val="0"/>
        <charset val="1"/>
      </rPr>
      <t xml:space="preserve">. Q_r·L·</t>
    </r>
    <r>
      <rPr>
        <i val="true"/>
        <sz val="9"/>
        <rFont val="Noto Sans CJK SC"/>
        <family val="2"/>
      </rPr>
      <t xml:space="preserve">스큐를 바꾸면 아래 전부 재계산됨</t>
    </r>
    <r>
      <rPr>
        <i val="true"/>
        <sz val="9"/>
        <rFont val="Arial"/>
        <family val="0"/>
        <charset val="1"/>
      </rPr>
      <t xml:space="preserve">.</t>
    </r>
  </si>
  <si>
    <t xml:space="preserve">항목</t>
  </si>
  <si>
    <t xml:space="preserve">기호</t>
  </si>
  <si>
    <t xml:space="preserve">값</t>
  </si>
  <si>
    <t xml:space="preserve">단위</t>
  </si>
  <si>
    <t xml:space="preserve">출처등급</t>
  </si>
  <si>
    <r>
      <rPr>
        <b val="true"/>
        <sz val="10"/>
        <color rgb="FFFFFFFF"/>
        <rFont val="Noto Sans CJK SC"/>
        <family val="2"/>
      </rPr>
      <t xml:space="preserve">식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근거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</si>
  <si>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카탈로그 입력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현대 </t>
    </r>
    <r>
      <rPr>
        <b val="true"/>
        <sz val="10"/>
        <rFont val="Arial"/>
        <family val="0"/>
        <charset val="1"/>
      </rPr>
      <t xml:space="preserve">SSEN </t>
    </r>
    <r>
      <rPr>
        <b val="true"/>
        <sz val="10"/>
        <rFont val="Noto Sans CJK SC"/>
        <family val="2"/>
      </rPr>
      <t xml:space="preserve">카탈로그 </t>
    </r>
    <r>
      <rPr>
        <b val="true"/>
        <sz val="10"/>
        <rFont val="Arial"/>
        <family val="0"/>
        <charset val="1"/>
      </rPr>
      <t xml:space="preserve">HLP-2.2/4, 380 V </t>
    </r>
    <r>
      <rPr>
        <b val="true"/>
        <sz val="10"/>
        <rFont val="Noto Sans CJK SC"/>
        <family val="2"/>
      </rPr>
      <t xml:space="preserve">행</t>
    </r>
    <r>
      <rPr>
        <b val="true"/>
        <sz val="10"/>
        <rFont val="Arial"/>
        <family val="0"/>
        <charset val="1"/>
      </rPr>
      <t xml:space="preserve">)</t>
    </r>
  </si>
  <si>
    <t xml:space="preserve">정격 출력</t>
  </si>
  <si>
    <t xml:space="preserve">P</t>
  </si>
  <si>
    <t xml:space="preserve">W</t>
  </si>
  <si>
    <t xml:space="preserve">카탈로그</t>
  </si>
  <si>
    <t xml:space="preserve">선간 전압</t>
  </si>
  <si>
    <t xml:space="preserve">V_L</t>
  </si>
  <si>
    <t xml:space="preserve">V</t>
  </si>
  <si>
    <r>
      <rPr>
        <sz val="10"/>
        <rFont val="Noto Sans CJK SC"/>
        <family val="2"/>
      </rPr>
      <t xml:space="preserve">정격 전류 </t>
    </r>
    <r>
      <rPr>
        <sz val="10"/>
        <rFont val="Arial"/>
        <family val="0"/>
        <charset val="1"/>
      </rPr>
      <t xml:space="preserve">(380 V)</t>
    </r>
  </si>
  <si>
    <t xml:space="preserve">I_n</t>
  </si>
  <si>
    <t xml:space="preserve">A</t>
  </si>
  <si>
    <r>
      <rPr>
        <sz val="10"/>
        <rFont val="Noto Sans CJK SC"/>
        <family val="2"/>
      </rPr>
      <t xml:space="preserve">효율 </t>
    </r>
    <r>
      <rPr>
        <sz val="10"/>
        <rFont val="Arial"/>
        <family val="0"/>
        <charset val="1"/>
      </rPr>
      <t xml:space="preserve">(100 % </t>
    </r>
    <r>
      <rPr>
        <sz val="10"/>
        <rFont val="Noto Sans CJK SC"/>
        <family val="2"/>
      </rPr>
      <t xml:space="preserve">부하</t>
    </r>
    <r>
      <rPr>
        <sz val="10"/>
        <rFont val="Arial"/>
        <family val="0"/>
        <charset val="1"/>
      </rPr>
      <t xml:space="preserve">)</t>
    </r>
  </si>
  <si>
    <t xml:space="preserve">η</t>
  </si>
  <si>
    <t xml:space="preserve">-</t>
  </si>
  <si>
    <t xml:space="preserve">역률</t>
  </si>
  <si>
    <t xml:space="preserve">cosφ</t>
  </si>
  <si>
    <t xml:space="preserve">주파수</t>
  </si>
  <si>
    <t xml:space="preserve">f</t>
  </si>
  <si>
    <t xml:space="preserve">Hz</t>
  </si>
  <si>
    <t xml:space="preserve">극수</t>
  </si>
  <si>
    <t xml:space="preserve">2p</t>
  </si>
  <si>
    <t xml:space="preserve">정격 회전수</t>
  </si>
  <si>
    <t xml:space="preserve">n_n</t>
  </si>
  <si>
    <t xml:space="preserve">rpm</t>
  </si>
  <si>
    <t xml:space="preserve">기동 토크비</t>
  </si>
  <si>
    <t xml:space="preserve">T_st/T_n</t>
  </si>
  <si>
    <t xml:space="preserve">210 %</t>
  </si>
  <si>
    <t xml:space="preserve">최대 토크비</t>
  </si>
  <si>
    <t xml:space="preserve">T_max/T_n</t>
  </si>
  <si>
    <t xml:space="preserve">250 %</t>
  </si>
  <si>
    <t xml:space="preserve">기동 전류비</t>
  </si>
  <si>
    <t xml:space="preserve">I_st/I_n</t>
  </si>
  <si>
    <t xml:space="preserve">650 %</t>
  </si>
  <si>
    <r>
      <rPr>
        <sz val="10"/>
        <rFont val="Arial"/>
        <family val="0"/>
        <charset val="1"/>
      </rPr>
      <t xml:space="preserve">Rotor GD² (</t>
    </r>
    <r>
      <rPr>
        <sz val="10"/>
        <rFont val="Noto Sans CJK SC"/>
        <family val="2"/>
      </rPr>
      <t xml:space="preserve">카탈로그 열 이름</t>
    </r>
    <r>
      <rPr>
        <sz val="10"/>
        <rFont val="Arial"/>
        <family val="0"/>
        <charset val="1"/>
      </rPr>
      <t xml:space="preserve">)</t>
    </r>
  </si>
  <si>
    <t xml:space="preserve">GD²</t>
  </si>
  <si>
    <t xml:space="preserve">kg·m²</t>
  </si>
  <si>
    <r>
      <rPr>
        <sz val="10"/>
        <rFont val="Arial"/>
        <family val="0"/>
        <charset val="1"/>
      </rPr>
      <t xml:space="preserve">§9 </t>
    </r>
    <r>
      <rPr>
        <sz val="10"/>
        <rFont val="Noto Sans CJK SC"/>
        <family val="2"/>
      </rPr>
      <t xml:space="preserve">검산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로터 치수에서 계산한 </t>
    </r>
    <r>
      <rPr>
        <sz val="10"/>
        <rFont val="Arial"/>
        <family val="0"/>
        <charset val="1"/>
      </rPr>
      <t xml:space="preserve">J</t>
    </r>
    <r>
      <rPr>
        <sz val="10"/>
        <rFont val="Noto Sans CJK SC"/>
        <family val="2"/>
      </rPr>
      <t xml:space="preserve">와 비교하면 이 값은 사실상 </t>
    </r>
    <r>
      <rPr>
        <sz val="10"/>
        <rFont val="Arial"/>
        <family val="0"/>
        <charset val="1"/>
      </rPr>
      <t xml:space="preserve">J</t>
    </r>
  </si>
  <si>
    <t xml:space="preserve">중량</t>
  </si>
  <si>
    <t xml:space="preserve">m</t>
  </si>
  <si>
    <t xml:space="preserve">kg</t>
  </si>
  <si>
    <r>
      <rPr>
        <sz val="10"/>
        <rFont val="Noto Sans CJK SC"/>
        <family val="2"/>
      </rPr>
      <t xml:space="preserve">베어링 </t>
    </r>
    <r>
      <rPr>
        <sz val="10"/>
        <rFont val="Arial"/>
        <family val="0"/>
        <charset val="1"/>
      </rPr>
      <t xml:space="preserve">DE / NDE</t>
    </r>
  </si>
  <si>
    <t xml:space="preserve">6206ZZC3 / 6206ZZC3</t>
  </si>
  <si>
    <r>
      <rPr>
        <sz val="10"/>
        <rFont val="Noto Sans CJK SC"/>
        <family val="2"/>
      </rPr>
      <t xml:space="preserve">절연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온도상승 </t>
    </r>
    <r>
      <rPr>
        <sz val="10"/>
        <rFont val="Arial"/>
        <family val="0"/>
        <charset val="1"/>
      </rPr>
      <t xml:space="preserve">/ SF</t>
    </r>
  </si>
  <si>
    <t xml:space="preserve">F / B / 1.15</t>
  </si>
  <si>
    <t xml:space="preserve">허용 진동</t>
  </si>
  <si>
    <t xml:space="preserve">mm/s</t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</si>
  <si>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기본 계산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가정 없음</t>
    </r>
    <r>
      <rPr>
        <b val="true"/>
        <sz val="10"/>
        <rFont val="Arial"/>
        <family val="0"/>
        <charset val="1"/>
      </rPr>
      <t xml:space="preserve">)</t>
    </r>
  </si>
  <si>
    <t xml:space="preserve">극쌍수</t>
  </si>
  <si>
    <t xml:space="preserve">p</t>
  </si>
  <si>
    <t xml:space="preserve">계산</t>
  </si>
  <si>
    <t xml:space="preserve">동기속도</t>
  </si>
  <si>
    <t xml:space="preserve">n_s</t>
  </si>
  <si>
    <t xml:space="preserve">정격 슬립</t>
  </si>
  <si>
    <t xml:space="preserve">s</t>
  </si>
  <si>
    <r>
      <rPr>
        <sz val="10"/>
        <rFont val="Noto Sans CJK SC"/>
        <family val="2"/>
      </rPr>
      <t xml:space="preserve">상전압 </t>
    </r>
    <r>
      <rPr>
        <sz val="10"/>
        <rFont val="Arial"/>
        <family val="0"/>
        <charset val="1"/>
      </rPr>
      <t xml:space="preserve">(Y, 220/380 </t>
    </r>
    <r>
      <rPr>
        <sz val="10"/>
        <rFont val="Noto Sans CJK SC"/>
        <family val="2"/>
      </rPr>
      <t xml:space="preserve">겸용형 </t>
    </r>
    <r>
      <rPr>
        <sz val="10"/>
        <rFont val="Arial"/>
        <family val="0"/>
        <charset val="1"/>
      </rPr>
      <t xml:space="preserve">380 V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</si>
  <si>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t xml:space="preserve">V_ph</t>
  </si>
  <si>
    <r>
      <rPr>
        <sz val="10"/>
        <rFont val="Arial"/>
        <family val="0"/>
        <charset val="1"/>
      </rPr>
      <t xml:space="preserve">380 V </t>
    </r>
    <r>
      <rPr>
        <sz val="10"/>
        <rFont val="Noto Sans CJK SC"/>
        <family val="2"/>
      </rPr>
      <t xml:space="preserve">전용형 결선은 명판 확인</t>
    </r>
  </si>
  <si>
    <t xml:space="preserve">입력 전력</t>
  </si>
  <si>
    <t xml:space="preserve">P_in</t>
  </si>
  <si>
    <r>
      <rPr>
        <sz val="10"/>
        <rFont val="Noto Sans CJK SC"/>
        <family val="2"/>
      </rPr>
      <t xml:space="preserve">총손실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카탈로그</t>
    </r>
    <r>
      <rPr>
        <sz val="10"/>
        <rFont val="Arial"/>
        <family val="0"/>
        <charset val="1"/>
      </rPr>
      <t xml:space="preserve">)</t>
    </r>
  </si>
  <si>
    <t xml:space="preserve">ΣP_loss</t>
  </si>
  <si>
    <t xml:space="preserve">정격 토크</t>
  </si>
  <si>
    <t xml:space="preserve">T_n</t>
  </si>
  <si>
    <t xml:space="preserve">N·m</t>
  </si>
  <si>
    <r>
      <rPr>
        <sz val="10"/>
        <rFont val="Noto Sans CJK SC"/>
        <family val="2"/>
      </rPr>
      <t xml:space="preserve">카탈로그 </t>
    </r>
    <r>
      <rPr>
        <sz val="10"/>
        <rFont val="Arial"/>
        <family val="0"/>
        <charset val="1"/>
      </rPr>
      <t xml:space="preserve">1.22 kg·m = 11.96 N·m</t>
    </r>
  </si>
  <si>
    <t xml:space="preserve">무효 전류</t>
  </si>
  <si>
    <t xml:space="preserve">I·sinφ</t>
  </si>
  <si>
    <t xml:space="preserve">기동 전류</t>
  </si>
  <si>
    <t xml:space="preserve">I_st</t>
  </si>
  <si>
    <r>
      <rPr>
        <sz val="10"/>
        <rFont val="Noto Sans CJK SC"/>
        <family val="2"/>
      </rPr>
      <t xml:space="preserve">기동 임피던스 </t>
    </r>
    <r>
      <rPr>
        <sz val="10"/>
        <rFont val="Arial"/>
        <family val="0"/>
        <charset val="1"/>
      </rPr>
      <t xml:space="preserve">(Y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</si>
  <si>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t xml:space="preserve">Z_sc</t>
  </si>
  <si>
    <t xml:space="preserve">Ω</t>
  </si>
  <si>
    <r>
      <rPr>
        <sz val="10"/>
        <rFont val="Noto Sans CJK SC"/>
        <family val="2"/>
      </rPr>
      <t xml:space="preserve">로터 관성 </t>
    </r>
    <r>
      <rPr>
        <sz val="10"/>
        <rFont val="Arial"/>
        <family val="0"/>
        <charset val="1"/>
      </rPr>
      <t xml:space="preserve">(GD² </t>
    </r>
    <r>
      <rPr>
        <sz val="10"/>
        <rFont val="Noto Sans CJK SC"/>
        <family val="2"/>
      </rPr>
      <t xml:space="preserve">열을 </t>
    </r>
    <r>
      <rPr>
        <sz val="10"/>
        <rFont val="Arial"/>
        <family val="0"/>
        <charset val="1"/>
      </rPr>
      <t xml:space="preserve">J</t>
    </r>
    <r>
      <rPr>
        <sz val="10"/>
        <rFont val="Noto Sans CJK SC"/>
        <family val="2"/>
      </rPr>
      <t xml:space="preserve">로 해석</t>
    </r>
    <r>
      <rPr>
        <sz val="10"/>
        <rFont val="Arial"/>
        <family val="0"/>
        <charset val="1"/>
      </rPr>
      <t xml:space="preserve">)</t>
    </r>
  </si>
  <si>
    <t xml:space="preserve">J</t>
  </si>
  <si>
    <r>
      <rPr>
        <sz val="10"/>
        <rFont val="Arial"/>
        <family val="0"/>
        <charset val="1"/>
      </rPr>
      <t xml:space="preserve">§9 </t>
    </r>
    <r>
      <rPr>
        <sz val="10"/>
        <rFont val="Noto Sans CJK SC"/>
        <family val="2"/>
      </rPr>
      <t xml:space="preserve">치수 검산과 일치 </t>
    </r>
    <r>
      <rPr>
        <sz val="10"/>
        <rFont val="Arial"/>
        <family val="0"/>
        <charset val="1"/>
      </rPr>
      <t xml:space="preserve">(GD²/4 = 0.002 </t>
    </r>
    <r>
      <rPr>
        <sz val="10"/>
        <rFont val="Noto Sans CJK SC"/>
        <family val="2"/>
      </rPr>
      <t xml:space="preserve">는 적층 </t>
    </r>
    <r>
      <rPr>
        <sz val="10"/>
        <rFont val="Arial"/>
        <family val="0"/>
        <charset val="1"/>
      </rPr>
      <t xml:space="preserve">29 mm </t>
    </r>
    <r>
      <rPr>
        <sz val="10"/>
        <rFont val="Noto Sans CJK SC"/>
        <family val="2"/>
      </rPr>
      <t xml:space="preserve">가 되어 비현실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</si>
  <si>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코어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공극 — 표준값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계산</t>
    </r>
  </si>
  <si>
    <t xml:space="preserve">고정자 외경</t>
  </si>
  <si>
    <t xml:space="preserve">D_so</t>
  </si>
  <si>
    <t xml:space="preserve">mm</t>
  </si>
  <si>
    <t xml:space="preserve">표준</t>
  </si>
  <si>
    <r>
      <rPr>
        <sz val="10"/>
        <rFont val="Arial"/>
        <family val="0"/>
        <charset val="1"/>
      </rPr>
      <t xml:space="preserve">IEC </t>
    </r>
    <r>
      <rPr>
        <sz val="10"/>
        <rFont val="Noto Sans CJK SC"/>
        <family val="2"/>
      </rPr>
      <t xml:space="preserve">프레임 </t>
    </r>
    <r>
      <rPr>
        <sz val="10"/>
        <rFont val="Arial"/>
        <family val="0"/>
        <charset val="1"/>
      </rPr>
      <t xml:space="preserve">100 TEFC </t>
    </r>
    <r>
      <rPr>
        <sz val="10"/>
        <rFont val="Noto Sans CJK SC"/>
        <family val="2"/>
      </rPr>
      <t xml:space="preserve">주철 코어 외경 표준 </t>
    </r>
    <r>
      <rPr>
        <sz val="10"/>
        <rFont val="Arial"/>
        <family val="0"/>
        <charset val="1"/>
      </rPr>
      <t xml:space="preserve">(≈1.55·H)</t>
    </r>
  </si>
  <si>
    <t xml:space="preserve">내외경비</t>
  </si>
  <si>
    <t xml:space="preserve">D_si/D_so</t>
  </si>
  <si>
    <t xml:space="preserve">Boldea &amp; Nasar Table 15.2, 2p=4: 0.61–0.66</t>
  </si>
  <si>
    <t xml:space="preserve">고정자 내경</t>
  </si>
  <si>
    <t xml:space="preserve">D_si</t>
  </si>
  <si>
    <r>
      <rPr>
        <sz val="10"/>
        <rFont val="Noto Sans CJK SC"/>
        <family val="2"/>
      </rPr>
      <t xml:space="preserve">공극 </t>
    </r>
    <r>
      <rPr>
        <sz val="10"/>
        <rFont val="Arial"/>
        <family val="0"/>
        <charset val="1"/>
      </rPr>
      <t xml:space="preserve">(Pyrhönen </t>
    </r>
    <r>
      <rPr>
        <sz val="10"/>
        <rFont val="Noto Sans CJK SC"/>
        <family val="2"/>
      </rPr>
      <t xml:space="preserve">식</t>
    </r>
    <r>
      <rPr>
        <sz val="10"/>
        <rFont val="Arial"/>
        <family val="0"/>
        <charset val="1"/>
      </rPr>
      <t xml:space="preserve">)</t>
    </r>
  </si>
  <si>
    <t xml:space="preserve">δ</t>
  </si>
  <si>
    <t xml:space="preserve">Pyrhönen Eq.(6.24): 0.18+0.006·P^0.4</t>
  </si>
  <si>
    <r>
      <rPr>
        <sz val="10"/>
        <rFont val="Noto Sans CJK SC"/>
        <family val="2"/>
      </rPr>
      <t xml:space="preserve">공극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채택</t>
    </r>
    <r>
      <rPr>
        <sz val="10"/>
        <rFont val="Arial"/>
        <family val="0"/>
        <charset val="1"/>
      </rPr>
      <t xml:space="preserve">)</t>
    </r>
  </si>
  <si>
    <t xml:space="preserve">g</t>
  </si>
  <si>
    <r>
      <rPr>
        <sz val="10"/>
        <rFont val="Arial"/>
        <family val="0"/>
        <charset val="1"/>
      </rPr>
      <t xml:space="preserve">0.05 </t>
    </r>
    <r>
      <rPr>
        <sz val="10"/>
        <rFont val="Noto Sans CJK SC"/>
        <family val="2"/>
      </rPr>
      <t xml:space="preserve">단위 가공 표준으로 반올림</t>
    </r>
  </si>
  <si>
    <t xml:space="preserve">로터 외경</t>
  </si>
  <si>
    <t xml:space="preserve">D_ro</t>
  </si>
  <si>
    <t xml:space="preserve">적층 길이</t>
  </si>
  <si>
    <t xml:space="preserve">L</t>
  </si>
  <si>
    <t xml:space="preserve">설계선택</t>
  </si>
  <si>
    <r>
      <rPr>
        <sz val="10"/>
        <rFont val="Noto Sans CJK SC"/>
        <family val="2"/>
      </rPr>
      <t xml:space="preserve">효율 </t>
    </r>
    <r>
      <rPr>
        <sz val="10"/>
        <rFont val="Arial"/>
        <family val="0"/>
        <charset val="1"/>
      </rPr>
      <t xml:space="preserve">89.5 % </t>
    </r>
    <r>
      <rPr>
        <sz val="10"/>
        <rFont val="Noto Sans CJK SC"/>
        <family val="2"/>
      </rPr>
      <t xml:space="preserve">정합 스윕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더블체크 </t>
    </r>
    <r>
      <rPr>
        <sz val="10"/>
        <rFont val="Arial"/>
        <family val="0"/>
        <charset val="1"/>
      </rPr>
      <t xml:space="preserve">§9) </t>
    </r>
    <r>
      <rPr>
        <sz val="10"/>
        <rFont val="Noto Sans CJK SC"/>
        <family val="2"/>
      </rPr>
      <t xml:space="preserve">최초 도달값</t>
    </r>
    <r>
      <rPr>
        <sz val="10"/>
        <rFont val="Arial"/>
        <family val="0"/>
        <charset val="1"/>
      </rPr>
      <t xml:space="preserve">. §9 </t>
    </r>
    <r>
      <rPr>
        <sz val="10"/>
        <rFont val="Noto Sans CJK SC"/>
        <family val="2"/>
      </rPr>
      <t xml:space="preserve">관성 검산으로 확인</t>
    </r>
  </si>
  <si>
    <t xml:space="preserve">적층 계수</t>
  </si>
  <si>
    <t xml:space="preserve">k_Fe</t>
  </si>
  <si>
    <r>
      <rPr>
        <sz val="10"/>
        <rFont val="Arial"/>
        <family val="0"/>
        <charset val="1"/>
      </rPr>
      <t xml:space="preserve">0.5 mm </t>
    </r>
    <r>
      <rPr>
        <sz val="10"/>
        <rFont val="Noto Sans CJK SC"/>
        <family val="2"/>
      </rPr>
      <t xml:space="preserve">전기강판</t>
    </r>
  </si>
  <si>
    <t xml:space="preserve">전기강판</t>
  </si>
  <si>
    <t xml:space="preserve">M400-50A (50PN400)</t>
  </si>
  <si>
    <r>
      <rPr>
        <sz val="10"/>
        <rFont val="Arial"/>
        <family val="0"/>
        <charset val="1"/>
      </rPr>
      <t xml:space="preserve">IE3 </t>
    </r>
    <r>
      <rPr>
        <sz val="10"/>
        <rFont val="Noto Sans CJK SC"/>
        <family val="2"/>
      </rPr>
      <t xml:space="preserve">손실 예산</t>
    </r>
  </si>
  <si>
    <t xml:space="preserve">로터 코어 안착부 축경</t>
  </si>
  <si>
    <t xml:space="preserve">D_shaft</t>
  </si>
  <si>
    <r>
      <rPr>
        <sz val="10"/>
        <rFont val="Arial"/>
        <family val="0"/>
        <charset val="1"/>
      </rPr>
      <t xml:space="preserve">6206 </t>
    </r>
    <r>
      <rPr>
        <sz val="10"/>
        <rFont val="Noto Sans CJK SC"/>
        <family val="2"/>
      </rPr>
      <t xml:space="preserve">내경 </t>
    </r>
    <r>
      <rPr>
        <sz val="10"/>
        <rFont val="Arial"/>
        <family val="0"/>
        <charset val="1"/>
      </rPr>
      <t xml:space="preserve">30 + </t>
    </r>
    <r>
      <rPr>
        <sz val="10"/>
        <rFont val="Noto Sans CJK SC"/>
        <family val="2"/>
      </rPr>
      <t xml:space="preserve">베어링 턱 </t>
    </r>
    <r>
      <rPr>
        <sz val="10"/>
        <rFont val="Arial"/>
        <family val="0"/>
        <charset val="1"/>
      </rPr>
      <t xml:space="preserve">d_a,min 35.6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</si>
  <si>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슬롯 수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권선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스큐 — 확정 설계</t>
    </r>
  </si>
  <si>
    <t xml:space="preserve">고정자 슬롯 수</t>
  </si>
  <si>
    <t xml:space="preserve">Q_s</t>
  </si>
  <si>
    <r>
      <rPr>
        <sz val="10"/>
        <rFont val="Arial"/>
        <family val="0"/>
        <charset val="1"/>
      </rPr>
      <t xml:space="preserve">q = 3 (100L 4</t>
    </r>
    <r>
      <rPr>
        <sz val="10"/>
        <rFont val="Noto Sans CJK SC"/>
        <family val="2"/>
      </rPr>
      <t xml:space="preserve">극 표준</t>
    </r>
    <r>
      <rPr>
        <sz val="10"/>
        <rFont val="Arial"/>
        <family val="0"/>
        <charset val="1"/>
      </rPr>
      <t xml:space="preserve">)</t>
    </r>
  </si>
  <si>
    <t xml:space="preserve">매극매상 슬롯수</t>
  </si>
  <si>
    <t xml:space="preserve">q</t>
  </si>
  <si>
    <r>
      <rPr>
        <sz val="10"/>
        <rFont val="Noto Sans CJK SC"/>
        <family val="2"/>
      </rPr>
      <t xml:space="preserve">로터 슬롯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스큐 설계 최적</t>
    </r>
    <r>
      <rPr>
        <sz val="10"/>
        <rFont val="Arial"/>
        <family val="0"/>
        <charset val="1"/>
      </rPr>
      <t xml:space="preserve">)</t>
    </r>
  </si>
  <si>
    <t xml:space="preserve">Q_r</t>
  </si>
  <si>
    <r>
      <rPr>
        <sz val="10"/>
        <rFont val="Noto Sans CJK SC"/>
        <family val="2"/>
      </rPr>
      <t xml:space="preserve">후보 </t>
    </r>
    <r>
      <rPr>
        <sz val="10"/>
        <rFont val="Arial"/>
        <family val="0"/>
        <charset val="1"/>
      </rPr>
      <t xml:space="preserve">{26,28,44,46} </t>
    </r>
    <r>
      <rPr>
        <sz val="10"/>
        <rFont val="Noto Sans CJK SC"/>
        <family val="2"/>
      </rPr>
      <t xml:space="preserve">중 스큐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슬롯 전제에서 </t>
    </r>
    <r>
      <rPr>
        <sz val="10"/>
        <rFont val="Arial"/>
        <family val="0"/>
        <charset val="1"/>
      </rPr>
      <t xml:space="preserve">28 </t>
    </r>
    <r>
      <rPr>
        <sz val="10"/>
        <rFont val="Noto Sans CJK SC"/>
        <family val="2"/>
      </rPr>
      <t xml:space="preserve">선정 — 「로터슬롯 선정근거」 시트</t>
    </r>
  </si>
  <si>
    <t xml:space="preserve">고정자 슬롯피치</t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</si>
  <si>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고정자 슬롯피치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양산 표준</t>
    </r>
    <r>
      <rPr>
        <sz val="10"/>
        <rFont val="Arial"/>
        <family val="0"/>
        <charset val="1"/>
      </rPr>
      <t xml:space="preserve">)</t>
    </r>
  </si>
  <si>
    <t xml:space="preserve">권선 층수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</si>
  <si>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층 중권</t>
    </r>
    <r>
      <rPr>
        <sz val="10"/>
        <rFont val="Arial"/>
        <family val="0"/>
        <charset val="1"/>
      </rPr>
      <t xml:space="preserve">(Lap)</t>
    </r>
  </si>
  <si>
    <t xml:space="preserve">코일 피치</t>
  </si>
  <si>
    <t xml:space="preserve">y</t>
  </si>
  <si>
    <t xml:space="preserve">슬롯</t>
  </si>
  <si>
    <r>
      <rPr>
        <sz val="10"/>
        <rFont val="Noto Sans CJK SC"/>
        <family val="2"/>
      </rPr>
      <t xml:space="preserve">극피치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슬롯의 </t>
    </r>
    <r>
      <rPr>
        <sz val="10"/>
        <rFont val="Arial"/>
        <family val="0"/>
        <charset val="1"/>
      </rPr>
      <t xml:space="preserve">8/9 </t>
    </r>
    <r>
      <rPr>
        <sz val="10"/>
        <rFont val="Noto Sans CJK SC"/>
        <family val="2"/>
      </rPr>
      <t xml:space="preserve">단절 </t>
    </r>
    <r>
      <rPr>
        <sz val="10"/>
        <rFont val="Arial"/>
        <family val="0"/>
        <charset val="1"/>
      </rPr>
      <t xml:space="preserve">(5·7</t>
    </r>
    <r>
      <rPr>
        <sz val="10"/>
        <rFont val="Noto Sans CJK SC"/>
        <family val="2"/>
      </rPr>
      <t xml:space="preserve">차 동시 저감</t>
    </r>
    <r>
      <rPr>
        <sz val="10"/>
        <rFont val="Arial"/>
        <family val="0"/>
        <charset val="1"/>
      </rPr>
      <t xml:space="preserve">)</t>
    </r>
  </si>
  <si>
    <t xml:space="preserve">병렬 회로 수</t>
  </si>
  <si>
    <t xml:space="preserve">a</t>
  </si>
  <si>
    <r>
      <rPr>
        <sz val="10"/>
        <rFont val="Arial"/>
        <family val="0"/>
        <charset val="1"/>
      </rPr>
      <t xml:space="preserve">2.2 kW 4</t>
    </r>
    <r>
      <rPr>
        <sz val="10"/>
        <rFont val="Noto Sans CJK SC"/>
        <family val="2"/>
      </rPr>
      <t xml:space="preserve">극 표준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현장 확인 항목</t>
    </r>
  </si>
  <si>
    <t xml:space="preserve">소선 병렬 가닥수</t>
  </si>
  <si>
    <t xml:space="preserve">n_w</t>
  </si>
  <si>
    <t xml:space="preserve">가닥</t>
  </si>
  <si>
    <r>
      <rPr>
        <sz val="10"/>
        <rFont val="Noto Sans CJK SC"/>
        <family val="2"/>
      </rPr>
      <t xml:space="preserve">소선 지름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나동선</t>
    </r>
    <r>
      <rPr>
        <sz val="10"/>
        <rFont val="Arial"/>
        <family val="0"/>
        <charset val="1"/>
      </rPr>
      <t xml:space="preserve">)</t>
    </r>
  </si>
  <si>
    <t xml:space="preserve">d_w</t>
  </si>
  <si>
    <r>
      <rPr>
        <sz val="10"/>
        <rFont val="Arial"/>
        <family val="0"/>
        <charset val="1"/>
      </rPr>
      <t xml:space="preserve">IEC 60317 R20 </t>
    </r>
    <r>
      <rPr>
        <sz val="10"/>
        <rFont val="Noto Sans CJK SC"/>
        <family val="2"/>
      </rPr>
      <t xml:space="preserve">표준 지름</t>
    </r>
  </si>
  <si>
    <t xml:space="preserve">목표 공극 자속밀도</t>
  </si>
  <si>
    <t xml:space="preserve">B_g</t>
  </si>
  <si>
    <t xml:space="preserve">T</t>
  </si>
  <si>
    <t xml:space="preserve">Boldea 2p=4: 0.65–0.75</t>
  </si>
  <si>
    <r>
      <rPr>
        <sz val="10"/>
        <rFont val="Arial"/>
        <family val="0"/>
        <charset val="1"/>
      </rPr>
      <t xml:space="preserve">E/V </t>
    </r>
    <r>
      <rPr>
        <sz val="10"/>
        <rFont val="Noto Sans CJK SC"/>
        <family val="2"/>
      </rPr>
      <t xml:space="preserve">비</t>
    </r>
  </si>
  <si>
    <t xml:space="preserve">k_E</t>
  </si>
  <si>
    <t xml:space="preserve">Boldea Eq.(15.1)</t>
  </si>
  <si>
    <t xml:space="preserve">슬롯 전기각</t>
  </si>
  <si>
    <t xml:space="preserve">α_s</t>
  </si>
  <si>
    <t xml:space="preserve">rad</t>
  </si>
  <si>
    <r>
      <rPr>
        <sz val="10"/>
        <rFont val="Arial"/>
        <family val="0"/>
        <charset val="1"/>
      </rPr>
      <t xml:space="preserve">20° </t>
    </r>
    <r>
      <rPr>
        <sz val="10"/>
        <rFont val="Noto Sans CJK SC"/>
        <family val="2"/>
      </rPr>
      <t xml:space="preserve">전기각</t>
    </r>
  </si>
  <si>
    <t xml:space="preserve">분포 계수</t>
  </si>
  <si>
    <t xml:space="preserve">k_d</t>
  </si>
  <si>
    <t xml:space="preserve">단절 계수</t>
  </si>
  <si>
    <t xml:space="preserve">k_p</t>
  </si>
  <si>
    <t xml:space="preserve">권선 계수</t>
  </si>
  <si>
    <t xml:space="preserve">k_w</t>
  </si>
  <si>
    <t xml:space="preserve">극 피치</t>
  </si>
  <si>
    <t xml:space="preserve">τ_p</t>
  </si>
  <si>
    <t xml:space="preserve">고정자 슬롯 피치</t>
  </si>
  <si>
    <t xml:space="preserve">τ_s</t>
  </si>
  <si>
    <t xml:space="preserve">유기 기전력</t>
  </si>
  <si>
    <t xml:space="preserve">E</t>
  </si>
  <si>
    <t xml:space="preserve">목표 극당 자속</t>
  </si>
  <si>
    <t xml:space="preserve">Φ</t>
  </si>
  <si>
    <t xml:space="preserve">Wb</t>
  </si>
  <si>
    <r>
      <rPr>
        <sz val="10"/>
        <rFont val="Noto Sans CJK SC"/>
        <family val="2"/>
      </rPr>
      <t xml:space="preserve">상당 직렬 턴수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)</t>
    </r>
  </si>
  <si>
    <t xml:space="preserve">N_ph</t>
  </si>
  <si>
    <t xml:space="preserve">turn</t>
  </si>
  <si>
    <r>
      <rPr>
        <sz val="10"/>
        <rFont val="Noto Sans CJK SC"/>
        <family val="2"/>
      </rPr>
      <t xml:space="preserve">상당 코일 수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층</t>
    </r>
    <r>
      <rPr>
        <sz val="10"/>
        <rFont val="Arial"/>
        <family val="0"/>
        <charset val="1"/>
      </rPr>
      <t xml:space="preserve">)</t>
    </r>
  </si>
  <si>
    <t xml:space="preserve">개</t>
  </si>
  <si>
    <r>
      <rPr>
        <sz val="10"/>
        <rFont val="Noto Sans CJK SC"/>
        <family val="2"/>
      </rPr>
      <t xml:space="preserve">코일당 턴수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정수화</t>
    </r>
    <r>
      <rPr>
        <sz val="10"/>
        <rFont val="Arial"/>
        <family val="0"/>
        <charset val="1"/>
      </rPr>
      <t xml:space="preserve">) ★ITSC </t>
    </r>
    <r>
      <rPr>
        <sz val="10"/>
        <rFont val="Noto Sans CJK SC"/>
        <family val="2"/>
      </rPr>
      <t xml:space="preserve">기준</t>
    </r>
  </si>
  <si>
    <t xml:space="preserve">N_c</t>
  </si>
  <si>
    <r>
      <rPr>
        <sz val="10"/>
        <rFont val="Noto Sans CJK SC"/>
        <family val="2"/>
      </rPr>
      <t xml:space="preserve">상당 직렬 턴수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채택</t>
    </r>
    <r>
      <rPr>
        <sz val="10"/>
        <rFont val="Arial"/>
        <family val="0"/>
        <charset val="1"/>
      </rPr>
      <t xml:space="preserve">)</t>
    </r>
  </si>
  <si>
    <t xml:space="preserve">슬롯당 도체수</t>
  </si>
  <si>
    <t xml:space="preserve">z_Q</t>
  </si>
  <si>
    <t xml:space="preserve">본</t>
  </si>
  <si>
    <t xml:space="preserve">실 공극 자속밀도</t>
  </si>
  <si>
    <t xml:space="preserve">실 극당 자속</t>
  </si>
  <si>
    <t xml:space="preserve">전기 장하</t>
  </si>
  <si>
    <t xml:space="preserve">kA/m</t>
  </si>
  <si>
    <r>
      <rPr>
        <sz val="10"/>
        <rFont val="Noto Sans CJK SC"/>
        <family val="2"/>
      </rPr>
      <t xml:space="preserve">소형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극 </t>
    </r>
    <r>
      <rPr>
        <sz val="10"/>
        <rFont val="Arial"/>
        <family val="0"/>
        <charset val="1"/>
      </rPr>
      <t xml:space="preserve">TEFC 15–25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</si>
  <si>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Noto Sans CJK SC"/>
        <family val="2"/>
      </rPr>
      <t xml:space="preserve">고정자 슬롯 치수 </t>
    </r>
    <r>
      <rPr>
        <b val="true"/>
        <sz val="10"/>
        <rFont val="Arial"/>
        <family val="0"/>
        <charset val="1"/>
      </rPr>
      <t xml:space="preserve">(RMxprt Slot Type 3)</t>
    </r>
  </si>
  <si>
    <t xml:space="preserve">치 자속밀도 목표</t>
  </si>
  <si>
    <t xml:space="preserve">B_t</t>
  </si>
  <si>
    <t xml:space="preserve">Boldea 1.5–1.65</t>
  </si>
  <si>
    <t xml:space="preserve">요크 자속밀도 목표</t>
  </si>
  <si>
    <t xml:space="preserve">B_y</t>
  </si>
  <si>
    <t xml:space="preserve">Boldea 1.4–1.6</t>
  </si>
  <si>
    <t xml:space="preserve">슬롯 개구 높이</t>
  </si>
  <si>
    <t xml:space="preserve">Hs0</t>
  </si>
  <si>
    <t xml:space="preserve">쐐기 높이</t>
  </si>
  <si>
    <t xml:space="preserve">Hs1</t>
  </si>
  <si>
    <t xml:space="preserve">슬롯 개구 폭</t>
  </si>
  <si>
    <t xml:space="preserve">Bs0</t>
  </si>
  <si>
    <r>
      <rPr>
        <sz val="10"/>
        <rFont val="Arial"/>
        <family val="0"/>
        <charset val="1"/>
      </rPr>
      <t xml:space="preserve">≥ 2×</t>
    </r>
    <r>
      <rPr>
        <sz val="10"/>
        <rFont val="Noto Sans CJK SC"/>
        <family val="2"/>
      </rPr>
      <t xml:space="preserve">소선 외경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여유</t>
    </r>
  </si>
  <si>
    <r>
      <rPr>
        <sz val="10"/>
        <rFont val="Noto Sans CJK SC"/>
        <family val="2"/>
      </rPr>
      <t xml:space="preserve">목표 점적률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나동선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</si>
  <si>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기계 삽입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0.40–0.45</t>
    </r>
  </si>
  <si>
    <t xml:space="preserve">치 폭</t>
  </si>
  <si>
    <t xml:space="preserve">b_t</t>
  </si>
  <si>
    <t xml:space="preserve">요크 높이</t>
  </si>
  <si>
    <t xml:space="preserve">h_y</t>
  </si>
  <si>
    <t xml:space="preserve">슬롯 전체 깊이</t>
  </si>
  <si>
    <t xml:space="preserve">h_s</t>
  </si>
  <si>
    <r>
      <rPr>
        <sz val="10"/>
        <rFont val="Noto Sans CJK SC"/>
        <family val="2"/>
      </rPr>
      <t xml:space="preserve">슬롯 상부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쐐기 하단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직경</t>
    </r>
  </si>
  <si>
    <t xml:space="preserve">D_1</t>
  </si>
  <si>
    <t xml:space="preserve">슬롯 바닥 직경</t>
  </si>
  <si>
    <t xml:space="preserve">D_2</t>
  </si>
  <si>
    <t xml:space="preserve">슬롯 상부 폭</t>
  </si>
  <si>
    <t xml:space="preserve">Bs1</t>
  </si>
  <si>
    <t xml:space="preserve">슬롯 하부 폭</t>
  </si>
  <si>
    <t xml:space="preserve">Bs2</t>
  </si>
  <si>
    <t xml:space="preserve">슬롯 유효 깊이</t>
  </si>
  <si>
    <t xml:space="preserve">h_s2</t>
  </si>
  <si>
    <r>
      <rPr>
        <sz val="10"/>
        <rFont val="Arial"/>
        <family val="0"/>
        <charset val="1"/>
      </rPr>
      <t xml:space="preserve">RMxprt Hs2 (</t>
    </r>
    <r>
      <rPr>
        <sz val="10"/>
        <rFont val="Noto Sans CJK SC"/>
        <family val="2"/>
      </rPr>
      <t xml:space="preserve">직선부</t>
    </r>
    <r>
      <rPr>
        <sz val="10"/>
        <rFont val="Arial"/>
        <family val="0"/>
        <charset val="1"/>
      </rPr>
      <t xml:space="preserve">) = h_s2 − Bs2/2</t>
    </r>
  </si>
  <si>
    <t xml:space="preserve">Hs2</t>
  </si>
  <si>
    <t xml:space="preserve">슬롯 면적</t>
  </si>
  <si>
    <t xml:space="preserve">A_slot</t>
  </si>
  <si>
    <t xml:space="preserve">mm²</t>
  </si>
  <si>
    <r>
      <rPr>
        <sz val="10"/>
        <rFont val="Noto Sans CJK SC"/>
        <family val="2"/>
      </rPr>
      <t xml:space="preserve">소선 단면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가닥 합</t>
    </r>
    <r>
      <rPr>
        <sz val="10"/>
        <rFont val="Arial"/>
        <family val="0"/>
        <charset val="1"/>
      </rPr>
      <t xml:space="preserve">)</t>
    </r>
  </si>
  <si>
    <t xml:space="preserve">a_cu</t>
  </si>
  <si>
    <t xml:space="preserve">실 점적률</t>
  </si>
  <si>
    <r>
      <rPr>
        <sz val="10"/>
        <rFont val="Arial"/>
        <family val="0"/>
        <charset val="1"/>
      </rPr>
      <t xml:space="preserve">0.40–0.45 </t>
    </r>
    <r>
      <rPr>
        <sz val="10"/>
        <rFont val="Noto Sans CJK SC"/>
        <family val="2"/>
      </rPr>
      <t xml:space="preserve">확인</t>
    </r>
  </si>
  <si>
    <t xml:space="preserve">고정자 전류밀도</t>
  </si>
  <si>
    <t xml:space="preserve">A/mm²</t>
  </si>
  <si>
    <t xml:space="preserve">IE3 TEFC 3.5–4.5</t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</si>
  <si>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Noto Sans CJK SC"/>
        <family val="2"/>
      </rPr>
      <t xml:space="preserve">엔드권선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저항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손실 예산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효율 정합 검증</t>
    </r>
    <r>
      <rPr>
        <b val="true"/>
        <sz val="10"/>
        <rFont val="Arial"/>
        <family val="0"/>
        <charset val="1"/>
      </rPr>
      <t xml:space="preserve">)</t>
    </r>
  </si>
  <si>
    <t xml:space="preserve">손실 기준 온도</t>
  </si>
  <si>
    <t xml:space="preserve">°C</t>
  </si>
  <si>
    <r>
      <rPr>
        <sz val="10"/>
        <rFont val="Arial"/>
        <family val="0"/>
        <charset val="1"/>
      </rPr>
      <t xml:space="preserve">IEC 60034-2-1 B</t>
    </r>
    <r>
      <rPr>
        <sz val="10"/>
        <rFont val="Noto Sans CJK SC"/>
        <family val="2"/>
      </rPr>
      <t xml:space="preserve">종</t>
    </r>
  </si>
  <si>
    <r>
      <rPr>
        <sz val="10"/>
        <rFont val="Noto Sans CJK SC"/>
        <family val="2"/>
      </rPr>
      <t xml:space="preserve">구리 저항률 </t>
    </r>
    <r>
      <rPr>
        <sz val="10"/>
        <rFont val="Arial"/>
        <family val="0"/>
        <charset val="1"/>
      </rPr>
      <t xml:space="preserve">(95 °C)</t>
    </r>
  </si>
  <si>
    <t xml:space="preserve">ρ_cu</t>
  </si>
  <si>
    <t xml:space="preserve">Ω·mm²/m</t>
  </si>
  <si>
    <r>
      <rPr>
        <sz val="10"/>
        <rFont val="Noto Sans CJK SC"/>
        <family val="2"/>
      </rPr>
      <t xml:space="preserve">다이캐스팅 </t>
    </r>
    <r>
      <rPr>
        <sz val="10"/>
        <rFont val="Arial"/>
        <family val="0"/>
        <charset val="1"/>
      </rPr>
      <t xml:space="preserve">Al </t>
    </r>
    <r>
      <rPr>
        <sz val="10"/>
        <rFont val="Noto Sans CJK SC"/>
        <family val="2"/>
      </rPr>
      <t xml:space="preserve">저항률 </t>
    </r>
    <r>
      <rPr>
        <sz val="10"/>
        <rFont val="Arial"/>
        <family val="0"/>
        <charset val="1"/>
      </rPr>
      <t xml:space="preserve">(95 °C)</t>
    </r>
  </si>
  <si>
    <t xml:space="preserve">ρ_al</t>
  </si>
  <si>
    <r>
      <rPr>
        <sz val="10"/>
        <rFont val="Noto Sans CJK SC"/>
        <family val="2"/>
      </rPr>
      <t xml:space="preserve">코일 단부 직선부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편측</t>
    </r>
    <r>
      <rPr>
        <sz val="10"/>
        <rFont val="Arial"/>
        <family val="0"/>
        <charset val="1"/>
      </rPr>
      <t xml:space="preserve">)</t>
    </r>
  </si>
  <si>
    <t xml:space="preserve">l_ew</t>
  </si>
  <si>
    <r>
      <rPr>
        <sz val="10"/>
        <rFont val="Arial"/>
        <family val="0"/>
        <charset val="1"/>
      </rPr>
      <t xml:space="preserve">Pyrhönen </t>
    </r>
    <r>
      <rPr>
        <sz val="10"/>
        <rFont val="Noto Sans CJK SC"/>
        <family val="2"/>
      </rPr>
      <t xml:space="preserve">소형기 </t>
    </r>
    <r>
      <rPr>
        <sz val="10"/>
        <rFont val="Arial"/>
        <family val="0"/>
        <charset val="1"/>
      </rPr>
      <t xml:space="preserve">10–20</t>
    </r>
  </si>
  <si>
    <t xml:space="preserve">슬롯 평균 직경</t>
  </si>
  <si>
    <t xml:space="preserve">D_m</t>
  </si>
  <si>
    <t xml:space="preserve">코일 폭</t>
  </si>
  <si>
    <r>
      <rPr>
        <sz val="10"/>
        <rFont val="Noto Sans CJK SC"/>
        <family val="2"/>
      </rPr>
      <t xml:space="preserve">엔드권선 도체 길이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편측</t>
    </r>
    <r>
      <rPr>
        <sz val="10"/>
        <rFont val="Arial"/>
        <family val="0"/>
        <charset val="1"/>
      </rPr>
      <t xml:space="preserve">)</t>
    </r>
  </si>
  <si>
    <t xml:space="preserve">l_end</t>
  </si>
  <si>
    <r>
      <rPr>
        <sz val="10"/>
        <rFont val="Noto Sans CJK SC"/>
        <family val="2"/>
      </rPr>
      <t xml:space="preserve">엔드권선 축방향 돌출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편측</t>
    </r>
    <r>
      <rPr>
        <sz val="10"/>
        <rFont val="Arial"/>
        <family val="0"/>
        <charset val="1"/>
      </rPr>
      <t xml:space="preserve">, 3D</t>
    </r>
    <r>
      <rPr>
        <sz val="10"/>
        <rFont val="Noto Sans CJK SC"/>
        <family val="2"/>
      </rPr>
      <t xml:space="preserve">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</si>
  <si>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100L </t>
    </r>
    <r>
      <rPr>
        <sz val="10"/>
        <rFont val="Noto Sans CJK SC"/>
        <family val="2"/>
      </rPr>
      <t xml:space="preserve">급 </t>
    </r>
    <r>
      <rPr>
        <sz val="10"/>
        <rFont val="Arial"/>
        <family val="0"/>
        <charset val="1"/>
      </rPr>
      <t xml:space="preserve">40–50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</si>
  <si>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턴 평균 길이</t>
    </r>
  </si>
  <si>
    <t xml:space="preserve">l_turn</t>
  </si>
  <si>
    <r>
      <rPr>
        <sz val="10"/>
        <rFont val="Noto Sans CJK SC"/>
        <family val="2"/>
      </rPr>
      <t xml:space="preserve">고정자 상저항 </t>
    </r>
    <r>
      <rPr>
        <sz val="10"/>
        <rFont val="Arial"/>
        <family val="0"/>
        <charset val="1"/>
      </rPr>
      <t xml:space="preserve">(95 °C)</t>
    </r>
  </si>
  <si>
    <t xml:space="preserve">R_1</t>
  </si>
  <si>
    <t xml:space="preserve">고정자 동손</t>
  </si>
  <si>
    <t xml:space="preserve">P_cu1</t>
  </si>
  <si>
    <t xml:space="preserve">기계손</t>
  </si>
  <si>
    <t xml:space="preserve">P_mech</t>
  </si>
  <si>
    <t xml:space="preserve">TEFC 100L @1760 rpm 10–15</t>
  </si>
  <si>
    <r>
      <rPr>
        <sz val="10"/>
        <rFont val="Noto Sans CJK SC"/>
        <family val="2"/>
      </rPr>
      <t xml:space="preserve">표류부하손 비율 </t>
    </r>
    <r>
      <rPr>
        <sz val="10"/>
        <rFont val="Arial"/>
        <family val="0"/>
        <charset val="1"/>
      </rPr>
      <t xml:space="preserve">(P_in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</si>
  <si>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IE3 </t>
    </r>
    <r>
      <rPr>
        <sz val="10"/>
        <rFont val="Noto Sans CJK SC"/>
        <family val="2"/>
      </rPr>
      <t xml:space="preserve">소형 </t>
    </r>
    <r>
      <rPr>
        <sz val="10"/>
        <rFont val="Arial"/>
        <family val="0"/>
        <charset val="1"/>
      </rPr>
      <t xml:space="preserve">0.5–1.2 %</t>
    </r>
  </si>
  <si>
    <t xml:space="preserve">표류부하손</t>
  </si>
  <si>
    <t xml:space="preserve">P_stray</t>
  </si>
  <si>
    <t xml:space="preserve">공극 전력</t>
  </si>
  <si>
    <t xml:space="preserve">P_gap</t>
  </si>
  <si>
    <r>
      <rPr>
        <sz val="10"/>
        <rFont val="Noto Sans CJK SC"/>
        <family val="2"/>
      </rPr>
      <t xml:space="preserve">로터 동손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슬립이 결정</t>
    </r>
    <r>
      <rPr>
        <sz val="10"/>
        <rFont val="Arial"/>
        <family val="0"/>
        <charset val="1"/>
      </rPr>
      <t xml:space="preserve">)</t>
    </r>
  </si>
  <si>
    <t xml:space="preserve">P_cu2</t>
  </si>
  <si>
    <r>
      <rPr>
        <sz val="10"/>
        <rFont val="Noto Sans CJK SC"/>
        <family val="2"/>
      </rPr>
      <t xml:space="preserve">강판 비철손 </t>
    </r>
    <r>
      <rPr>
        <sz val="10"/>
        <rFont val="Arial"/>
        <family val="0"/>
        <charset val="1"/>
      </rPr>
      <t xml:space="preserve">W15/50</t>
    </r>
  </si>
  <si>
    <t xml:space="preserve">W/kg</t>
  </si>
  <si>
    <r>
      <rPr>
        <sz val="10"/>
        <rFont val="Arial"/>
        <family val="0"/>
        <charset val="1"/>
      </rPr>
      <t xml:space="preserve">M400-50A </t>
    </r>
    <r>
      <rPr>
        <sz val="10"/>
        <rFont val="Noto Sans CJK SC"/>
        <family val="2"/>
      </rPr>
      <t xml:space="preserve">상한</t>
    </r>
  </si>
  <si>
    <r>
      <rPr>
        <sz val="10"/>
        <rFont val="Arial"/>
        <family val="0"/>
        <charset val="1"/>
      </rPr>
      <t xml:space="preserve">60 Hz </t>
    </r>
    <r>
      <rPr>
        <sz val="10"/>
        <rFont val="Noto Sans CJK SC"/>
        <family val="2"/>
      </rPr>
      <t xml:space="preserve">철손 보정</t>
    </r>
  </si>
  <si>
    <t xml:space="preserve">요크 가공 계수</t>
  </si>
  <si>
    <t xml:space="preserve">치 가공 계수</t>
  </si>
  <si>
    <t xml:space="preserve">요크 단면</t>
  </si>
  <si>
    <t xml:space="preserve">치 단면 합</t>
  </si>
  <si>
    <t xml:space="preserve">요크 질량</t>
  </si>
  <si>
    <t xml:space="preserve">치 질량</t>
  </si>
  <si>
    <t xml:space="preserve">철손</t>
  </si>
  <si>
    <t xml:space="preserve">P_fe</t>
  </si>
  <si>
    <r>
      <rPr>
        <sz val="10"/>
        <rFont val="Noto Sans CJK SC"/>
        <family val="2"/>
      </rPr>
      <t xml:space="preserve">총손실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)</t>
    </r>
  </si>
  <si>
    <t xml:space="preserve">ΣP</t>
  </si>
  <si>
    <r>
      <rPr>
        <sz val="10"/>
        <rFont val="Noto Sans CJK SC"/>
        <family val="2"/>
      </rPr>
      <t xml:space="preserve">효율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)</t>
    </r>
  </si>
  <si>
    <t xml:space="preserve">η_calc</t>
  </si>
  <si>
    <r>
      <rPr>
        <sz val="10"/>
        <rFont val="Noto Sans CJK SC"/>
        <family val="2"/>
      </rPr>
      <t xml:space="preserve">카탈로그 </t>
    </r>
    <r>
      <rPr>
        <sz val="10"/>
        <rFont val="Arial"/>
        <family val="0"/>
        <charset val="1"/>
      </rPr>
      <t xml:space="preserve">89.5 % </t>
    </r>
    <r>
      <rPr>
        <sz val="10"/>
        <rFont val="Noto Sans CJK SC"/>
        <family val="2"/>
      </rPr>
      <t xml:space="preserve">와 비교</t>
    </r>
  </si>
  <si>
    <t xml:space="preserve">효율 오차</t>
  </si>
  <si>
    <t xml:space="preserve">Δη</t>
  </si>
  <si>
    <t xml:space="preserve">%p</t>
  </si>
  <si>
    <r>
      <rPr>
        <sz val="10"/>
        <rFont val="Arial"/>
        <family val="0"/>
        <charset val="1"/>
      </rPr>
      <t xml:space="preserve">±0.3 %p </t>
    </r>
    <r>
      <rPr>
        <sz val="10"/>
        <rFont val="Noto Sans CJK SC"/>
        <family val="2"/>
      </rPr>
      <t xml:space="preserve">이내면 정합</t>
    </r>
  </si>
  <si>
    <r>
      <rPr>
        <b val="true"/>
        <sz val="10"/>
        <rFont val="Arial"/>
        <family val="0"/>
        <charset val="1"/>
      </rPr>
      <t xml:space="preserve">7. </t>
    </r>
    <r>
      <rPr>
        <b val="true"/>
        <sz val="10"/>
        <rFont val="Noto Sans CJK SC"/>
        <family val="2"/>
      </rPr>
      <t xml:space="preserve">로터 바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엔드링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슬롯 치수 </t>
    </r>
    <r>
      <rPr>
        <b val="true"/>
        <sz val="10"/>
        <rFont val="Arial"/>
        <family val="0"/>
        <charset val="1"/>
      </rPr>
      <t xml:space="preserve">(RMxprt Slot Type 2, </t>
    </r>
    <r>
      <rPr>
        <b val="true"/>
        <sz val="10"/>
        <rFont val="Noto Sans CJK SC"/>
        <family val="2"/>
      </rPr>
      <t xml:space="preserve">반폐 배형</t>
    </r>
    <r>
      <rPr>
        <b val="true"/>
        <sz val="10"/>
        <rFont val="Arial"/>
        <family val="0"/>
        <charset val="1"/>
      </rPr>
      <t xml:space="preserve">)</t>
    </r>
  </si>
  <si>
    <t xml:space="preserve">로터 슬롯 피치</t>
  </si>
  <si>
    <t xml:space="preserve">τ_r</t>
  </si>
  <si>
    <t xml:space="preserve">역률 보정</t>
  </si>
  <si>
    <t xml:space="preserve">K_I</t>
  </si>
  <si>
    <t xml:space="preserve">Boldea Ch.15</t>
  </si>
  <si>
    <t xml:space="preserve">바 전류</t>
  </si>
  <si>
    <t xml:space="preserve">I_b</t>
  </si>
  <si>
    <t xml:space="preserve">엔드링 전류</t>
  </si>
  <si>
    <t xml:space="preserve">I_er</t>
  </si>
  <si>
    <r>
      <rPr>
        <sz val="10"/>
        <rFont val="Noto Sans CJK SC"/>
        <family val="2"/>
      </rPr>
      <t xml:space="preserve">바 환산 등가 저항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슬립 조건</t>
    </r>
    <r>
      <rPr>
        <sz val="10"/>
        <rFont val="Arial"/>
        <family val="0"/>
        <charset val="1"/>
      </rPr>
      <t xml:space="preserve">)</t>
    </r>
  </si>
  <si>
    <t xml:space="preserve">R_be</t>
  </si>
  <si>
    <t xml:space="preserve">μΩ</t>
  </si>
  <si>
    <t xml:space="preserve">엔드링 높이</t>
  </si>
  <si>
    <t xml:space="preserve">h_er</t>
  </si>
  <si>
    <t xml:space="preserve">엔드링 폭</t>
  </si>
  <si>
    <t xml:space="preserve">w_er</t>
  </si>
  <si>
    <t xml:space="preserve">J_er ≈ 0.75·J_b</t>
  </si>
  <si>
    <t xml:space="preserve">엔드링 단면</t>
  </si>
  <si>
    <t xml:space="preserve">A_er</t>
  </si>
  <si>
    <t xml:space="preserve">엔드링 평균 직경</t>
  </si>
  <si>
    <t xml:space="preserve">D_er</t>
  </si>
  <si>
    <t xml:space="preserve">엔드링 세그먼트 길이</t>
  </si>
  <si>
    <t xml:space="preserve">l_er</t>
  </si>
  <si>
    <t xml:space="preserve">세그먼트 저항</t>
  </si>
  <si>
    <t xml:space="preserve">R_er</t>
  </si>
  <si>
    <t xml:space="preserve">바 환산 링 저항</t>
  </si>
  <si>
    <t xml:space="preserve">바 저항</t>
  </si>
  <si>
    <t xml:space="preserve">R_b</t>
  </si>
  <si>
    <r>
      <rPr>
        <sz val="10"/>
        <rFont val="Noto Sans CJK SC"/>
        <family val="2"/>
      </rPr>
      <t xml:space="preserve">바 길이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링 매입 </t>
    </r>
    <r>
      <rPr>
        <sz val="10"/>
        <rFont val="Arial"/>
        <family val="0"/>
        <charset val="1"/>
      </rPr>
      <t xml:space="preserve">5 mm </t>
    </r>
    <r>
      <rPr>
        <sz val="10"/>
        <rFont val="Noto Sans CJK SC"/>
        <family val="2"/>
      </rPr>
      <t xml:space="preserve">양측</t>
    </r>
    <r>
      <rPr>
        <sz val="10"/>
        <rFont val="Arial"/>
        <family val="0"/>
        <charset val="1"/>
      </rPr>
      <t xml:space="preserve">)</t>
    </r>
  </si>
  <si>
    <t xml:space="preserve">l_b</t>
  </si>
  <si>
    <t xml:space="preserve">요구 바 단면 ★</t>
  </si>
  <si>
    <t xml:space="preserve">A_b</t>
  </si>
  <si>
    <r>
      <rPr>
        <sz val="10"/>
        <rFont val="Noto Sans CJK SC"/>
        <family val="2"/>
      </rPr>
      <t xml:space="preserve">슬립 </t>
    </r>
    <r>
      <rPr>
        <sz val="10"/>
        <rFont val="Arial"/>
        <family val="0"/>
        <charset val="1"/>
      </rPr>
      <t xml:space="preserve">2.22 % </t>
    </r>
    <r>
      <rPr>
        <sz val="10"/>
        <rFont val="Noto Sans CJK SC"/>
        <family val="2"/>
      </rPr>
      <t xml:space="preserve">정합 조건</t>
    </r>
  </si>
  <si>
    <t xml:space="preserve">로터 브리지 높이</t>
  </si>
  <si>
    <t xml:space="preserve">반폐 다이캐스팅</t>
  </si>
  <si>
    <t xml:space="preserve">로터 개구 폭</t>
  </si>
  <si>
    <t xml:space="preserve">로터 슬롯 전체 깊이</t>
  </si>
  <si>
    <t xml:space="preserve">h_r</t>
  </si>
  <si>
    <r>
      <rPr>
        <sz val="10"/>
        <rFont val="Noto Sans CJK SC"/>
        <family val="2"/>
      </rPr>
      <t xml:space="preserve">표피효과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기동토크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확보</t>
    </r>
  </si>
  <si>
    <t xml:space="preserve">로터 슬롯 상부 원 지름</t>
  </si>
  <si>
    <t xml:space="preserve">로터 슬롯 하부 원 지름</t>
  </si>
  <si>
    <t xml:space="preserve">로터 슬롯 직선부 깊이</t>
  </si>
  <si>
    <r>
      <rPr>
        <sz val="10"/>
        <rFont val="Noto Sans CJK SC"/>
        <family val="2"/>
      </rPr>
      <t xml:space="preserve">로터 슬롯 면적 </t>
    </r>
    <r>
      <rPr>
        <sz val="10"/>
        <rFont val="Arial"/>
        <family val="0"/>
        <charset val="1"/>
      </rPr>
      <t xml:space="preserve">(= </t>
    </r>
    <r>
      <rPr>
        <sz val="10"/>
        <rFont val="Noto Sans CJK SC"/>
        <family val="2"/>
      </rPr>
      <t xml:space="preserve">바 단면</t>
    </r>
    <r>
      <rPr>
        <sz val="10"/>
        <rFont val="Arial"/>
        <family val="0"/>
        <charset val="1"/>
      </rPr>
      <t xml:space="preserve">)</t>
    </r>
  </si>
  <si>
    <t xml:space="preserve">A_r</t>
  </si>
  <si>
    <r>
      <rPr>
        <sz val="10"/>
        <rFont val="Arial"/>
        <family val="0"/>
        <charset val="1"/>
      </rPr>
      <t xml:space="preserve">A_b 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±3 % </t>
    </r>
    <r>
      <rPr>
        <sz val="10"/>
        <rFont val="Noto Sans CJK SC"/>
        <family val="2"/>
      </rPr>
      <t xml:space="preserve">확인</t>
    </r>
  </si>
  <si>
    <t xml:space="preserve">슬롯 면적 − 요구 단면</t>
  </si>
  <si>
    <t xml:space="preserve">바 전류밀도</t>
  </si>
  <si>
    <t xml:space="preserve">J_b</t>
  </si>
  <si>
    <t xml:space="preserve">IE3 Al 1.5–3</t>
  </si>
  <si>
    <t xml:space="preserve">엔드링 전류밀도</t>
  </si>
  <si>
    <t xml:space="preserve">J_er</t>
  </si>
  <si>
    <t xml:space="preserve">로터 상부 원 중심 직경</t>
  </si>
  <si>
    <r>
      <rPr>
        <sz val="10"/>
        <rFont val="Noto Sans CJK SC"/>
        <family val="2"/>
      </rPr>
      <t xml:space="preserve">로터 치 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상부</t>
    </r>
    <r>
      <rPr>
        <sz val="10"/>
        <rFont val="Arial"/>
        <family val="0"/>
        <charset val="1"/>
      </rPr>
      <t xml:space="preserve">)</t>
    </r>
  </si>
  <si>
    <t xml:space="preserve">b_tr</t>
  </si>
  <si>
    <t xml:space="preserve">로터 치 자속밀도</t>
  </si>
  <si>
    <t xml:space="preserve">B_tr</t>
  </si>
  <si>
    <t xml:space="preserve">1.5–1.7</t>
  </si>
  <si>
    <t xml:space="preserve">로터 요크 높이</t>
  </si>
  <si>
    <t xml:space="preserve">h_yr</t>
  </si>
  <si>
    <r>
      <rPr>
        <sz val="10"/>
        <rFont val="Noto Sans CJK SC"/>
        <family val="2"/>
      </rPr>
      <t xml:space="preserve">로터 요크 자속밀도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적층만</t>
    </r>
    <r>
      <rPr>
        <sz val="10"/>
        <rFont val="Arial"/>
        <family val="0"/>
        <charset val="1"/>
      </rPr>
      <t xml:space="preserve">)</t>
    </r>
  </si>
  <si>
    <t xml:space="preserve">B_yr</t>
  </si>
  <si>
    <r>
      <rPr>
        <sz val="10"/>
        <rFont val="Noto Sans CJK SC"/>
        <family val="2"/>
      </rPr>
      <t xml:space="preserve">축이 일부 분담 → </t>
    </r>
    <r>
      <rPr>
        <sz val="10"/>
        <rFont val="Arial"/>
        <family val="0"/>
        <charset val="1"/>
      </rPr>
      <t xml:space="preserve">1.6–1.8 </t>
    </r>
    <r>
      <rPr>
        <sz val="10"/>
        <rFont val="Noto Sans CJK SC"/>
        <family val="2"/>
      </rPr>
      <t xml:space="preserve">허용</t>
    </r>
  </si>
  <si>
    <t xml:space="preserve">기동 시 바 표피 깊이비</t>
  </si>
  <si>
    <t xml:space="preserve">ξ</t>
  </si>
  <si>
    <t xml:space="preserve">기동 바 저항 증가비</t>
  </si>
  <si>
    <t xml:space="preserve">K_R</t>
  </si>
  <si>
    <r>
      <rPr>
        <sz val="10"/>
        <rFont val="Noto Sans CJK SC"/>
        <family val="2"/>
      </rPr>
      <t xml:space="preserve">기동토크 </t>
    </r>
    <r>
      <rPr>
        <sz val="10"/>
        <rFont val="Arial"/>
        <family val="0"/>
        <charset val="1"/>
      </rPr>
      <t xml:space="preserve">210 % </t>
    </r>
    <r>
      <rPr>
        <sz val="10"/>
        <rFont val="Noto Sans CJK SC"/>
        <family val="2"/>
      </rPr>
      <t xml:space="preserve">정합 지표</t>
    </r>
  </si>
  <si>
    <r>
      <rPr>
        <b val="true"/>
        <sz val="10"/>
        <rFont val="Arial"/>
        <family val="0"/>
        <charset val="1"/>
      </rPr>
      <t xml:space="preserve">8. </t>
    </r>
    <r>
      <rPr>
        <b val="true"/>
        <sz val="10"/>
        <rFont val="Noto Sans CJK SC"/>
        <family val="2"/>
      </rPr>
      <t xml:space="preserve">스큐 사양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확정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로터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고정자 슬롯피치</t>
    </r>
    <r>
      <rPr>
        <b val="true"/>
        <sz val="10"/>
        <rFont val="Arial"/>
        <family val="0"/>
        <charset val="1"/>
      </rPr>
      <t xml:space="preserve">)</t>
    </r>
  </si>
  <si>
    <t xml:space="preserve">스큐 기계각</t>
  </si>
  <si>
    <t xml:space="preserve">θ_m</t>
  </si>
  <si>
    <t xml:space="preserve">°</t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</si>
  <si>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슬롯피치</t>
    </r>
  </si>
  <si>
    <t xml:space="preserve">스큐 전기각</t>
  </si>
  <si>
    <t xml:space="preserve">θ_e</t>
  </si>
  <si>
    <r>
      <rPr>
        <sz val="10"/>
        <rFont val="Noto Sans CJK SC"/>
        <family val="2"/>
      </rPr>
      <t xml:space="preserve">로터 표면 접선 어긋남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양단 간</t>
    </r>
    <r>
      <rPr>
        <sz val="10"/>
        <rFont val="Arial"/>
        <family val="0"/>
        <charset val="1"/>
      </rPr>
      <t xml:space="preserve">)</t>
    </r>
  </si>
  <si>
    <t xml:space="preserve">Δ</t>
  </si>
  <si>
    <r>
      <rPr>
        <sz val="10"/>
        <rFont val="Noto Sans CJK SC"/>
        <family val="2"/>
      </rPr>
      <t xml:space="preserve">바 기울기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축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</si>
  <si>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3D </t>
    </r>
    <r>
      <rPr>
        <sz val="10"/>
        <rFont val="Noto Sans CJK SC"/>
        <family val="2"/>
      </rPr>
      <t xml:space="preserve">모델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로터 바를 이 각도로 트위스트</t>
    </r>
  </si>
  <si>
    <t xml:space="preserve">스큐 계수 — 기본파</t>
  </si>
  <si>
    <t xml:space="preserve">k_sk(1)</t>
  </si>
  <si>
    <r>
      <rPr>
        <sz val="10"/>
        <rFont val="Noto Sans CJK SC"/>
        <family val="2"/>
      </rPr>
      <t xml:space="preserve">스큐 계수 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차</t>
    </r>
  </si>
  <si>
    <t xml:space="preserve">k_sk(5)</t>
  </si>
  <si>
    <r>
      <rPr>
        <sz val="10"/>
        <rFont val="Noto Sans CJK SC"/>
        <family val="2"/>
      </rPr>
      <t xml:space="preserve">스큐 계수 —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차</t>
    </r>
  </si>
  <si>
    <t xml:space="preserve">k_sk(7)</t>
  </si>
  <si>
    <r>
      <rPr>
        <sz val="10"/>
        <rFont val="Noto Sans CJK SC"/>
        <family val="2"/>
      </rPr>
      <t xml:space="preserve">스큐 계수 —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(36/28 </t>
    </r>
    <r>
      <rPr>
        <sz val="10"/>
        <rFont val="Noto Sans CJK SC"/>
        <family val="2"/>
      </rPr>
      <t xml:space="preserve">동기토크 성분</t>
    </r>
    <r>
      <rPr>
        <sz val="10"/>
        <rFont val="Arial"/>
        <family val="0"/>
        <charset val="1"/>
      </rPr>
      <t xml:space="preserve">)</t>
    </r>
  </si>
  <si>
    <t xml:space="preserve">k_sk(13)</t>
  </si>
  <si>
    <r>
      <rPr>
        <sz val="10"/>
        <rFont val="Noto Sans CJK SC"/>
        <family val="2"/>
      </rPr>
      <t xml:space="preserve">스큐 계수 — 고정자 슬롯 고조파 </t>
    </r>
    <r>
      <rPr>
        <sz val="10"/>
        <rFont val="Arial"/>
        <family val="0"/>
        <charset val="1"/>
      </rPr>
      <t xml:space="preserve">Q_s/p−1</t>
    </r>
  </si>
  <si>
    <t xml:space="preserve">k_sk(17)</t>
  </si>
  <si>
    <r>
      <rPr>
        <sz val="10"/>
        <rFont val="Noto Sans CJK SC"/>
        <family val="2"/>
      </rPr>
      <t xml:space="preserve">스큐 계수 — 고정자 슬롯 고조파 </t>
    </r>
    <r>
      <rPr>
        <sz val="10"/>
        <rFont val="Arial"/>
        <family val="0"/>
        <charset val="1"/>
      </rPr>
      <t xml:space="preserve">Q_s/p+1</t>
    </r>
  </si>
  <si>
    <t xml:space="preserve">k_sk(19)</t>
  </si>
  <si>
    <r>
      <rPr>
        <sz val="10"/>
        <rFont val="Arial"/>
        <family val="0"/>
        <charset val="1"/>
      </rPr>
      <t xml:space="preserve">r=4 </t>
    </r>
    <r>
      <rPr>
        <sz val="10"/>
        <rFont val="Noto Sans CJK SC"/>
        <family val="2"/>
      </rPr>
      <t xml:space="preserve">힘파 </t>
    </r>
    <r>
      <rPr>
        <sz val="10"/>
        <rFont val="Arial"/>
        <family val="0"/>
        <charset val="1"/>
      </rPr>
      <t xml:space="preserve">~95 % </t>
    </r>
    <r>
      <rPr>
        <sz val="10"/>
        <rFont val="Noto Sans CJK SC"/>
        <family val="2"/>
      </rPr>
      <t xml:space="preserve">감쇠 근거</t>
    </r>
  </si>
  <si>
    <t xml:space="preserve">기본파 토크 손실</t>
  </si>
  <si>
    <t xml:space="preserve">1−k_sk(1)</t>
  </si>
  <si>
    <r>
      <rPr>
        <b val="true"/>
        <sz val="10"/>
        <rFont val="Arial"/>
        <family val="0"/>
        <charset val="1"/>
      </rPr>
      <t xml:space="preserve">9. </t>
    </r>
    <r>
      <rPr>
        <b val="true"/>
        <sz val="10"/>
        <rFont val="Noto Sans CJK SC"/>
        <family val="2"/>
      </rPr>
      <t xml:space="preserve">등가회로 목표값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검산 </t>
    </r>
    <r>
      <rPr>
        <b val="true"/>
        <sz val="10"/>
        <rFont val="Arial"/>
        <family val="0"/>
        <charset val="1"/>
      </rPr>
      <t xml:space="preserve">(RMxprt/Maxwell </t>
    </r>
    <r>
      <rPr>
        <b val="true"/>
        <sz val="10"/>
        <rFont val="Noto Sans CJK SC"/>
        <family val="2"/>
      </rPr>
      <t xml:space="preserve">결과와 비교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</si>
  <si>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고정자 </t>
    </r>
    <r>
      <rPr>
        <sz val="10"/>
        <rFont val="Arial"/>
        <family val="0"/>
        <charset val="1"/>
      </rPr>
      <t xml:space="preserve">Carter γ</t>
    </r>
  </si>
  <si>
    <r>
      <rPr>
        <sz val="10"/>
        <rFont val="Noto Sans CJK SC"/>
        <family val="2"/>
      </rPr>
      <t xml:space="preserve">고정자 </t>
    </r>
    <r>
      <rPr>
        <sz val="10"/>
        <rFont val="Arial"/>
        <family val="0"/>
        <charset val="1"/>
      </rPr>
      <t xml:space="preserve">Carter </t>
    </r>
    <r>
      <rPr>
        <sz val="10"/>
        <rFont val="Noto Sans CJK SC"/>
        <family val="2"/>
      </rPr>
      <t xml:space="preserve">계수</t>
    </r>
  </si>
  <si>
    <r>
      <rPr>
        <sz val="10"/>
        <rFont val="Noto Sans CJK SC"/>
        <family val="2"/>
      </rPr>
      <t xml:space="preserve">로터 </t>
    </r>
    <r>
      <rPr>
        <sz val="10"/>
        <rFont val="Arial"/>
        <family val="0"/>
        <charset val="1"/>
      </rPr>
      <t xml:space="preserve">Carter γ</t>
    </r>
  </si>
  <si>
    <r>
      <rPr>
        <sz val="10"/>
        <rFont val="Noto Sans CJK SC"/>
        <family val="2"/>
      </rPr>
      <t xml:space="preserve">로터 </t>
    </r>
    <r>
      <rPr>
        <sz val="10"/>
        <rFont val="Arial"/>
        <family val="0"/>
        <charset val="1"/>
      </rPr>
      <t xml:space="preserve">Carter </t>
    </r>
    <r>
      <rPr>
        <sz val="10"/>
        <rFont val="Noto Sans CJK SC"/>
        <family val="2"/>
      </rPr>
      <t xml:space="preserve">계수</t>
    </r>
  </si>
  <si>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Carter </t>
    </r>
    <r>
      <rPr>
        <sz val="10"/>
        <rFont val="Noto Sans CJK SC"/>
        <family val="2"/>
      </rPr>
      <t xml:space="preserve">계수</t>
    </r>
  </si>
  <si>
    <t xml:space="preserve">k_C</t>
  </si>
  <si>
    <t xml:space="preserve">유효 공극</t>
  </si>
  <si>
    <t xml:space="preserve">g_e</t>
  </si>
  <si>
    <t xml:space="preserve">포화 계수</t>
  </si>
  <si>
    <t xml:space="preserve">k_sat</t>
  </si>
  <si>
    <r>
      <rPr>
        <sz val="10"/>
        <rFont val="Noto Sans CJK SC"/>
        <family val="2"/>
      </rPr>
      <t xml:space="preserve">소형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극 </t>
    </r>
    <r>
      <rPr>
        <sz val="10"/>
        <rFont val="Arial"/>
        <family val="0"/>
        <charset val="1"/>
      </rPr>
      <t xml:space="preserve">1.3–1.5</t>
    </r>
  </si>
  <si>
    <r>
      <rPr>
        <sz val="10"/>
        <rFont val="Noto Sans CJK SC"/>
        <family val="2"/>
      </rPr>
      <t xml:space="preserve">공극 </t>
    </r>
    <r>
      <rPr>
        <sz val="10"/>
        <rFont val="Arial"/>
        <family val="0"/>
        <charset val="1"/>
      </rPr>
      <t xml:space="preserve">MMF (</t>
    </r>
    <r>
      <rPr>
        <sz val="10"/>
        <rFont val="Noto Sans CJK SC"/>
        <family val="2"/>
      </rPr>
      <t xml:space="preserve">극당</t>
    </r>
    <r>
      <rPr>
        <sz val="10"/>
        <rFont val="Arial"/>
        <family val="0"/>
        <charset val="1"/>
      </rPr>
      <t xml:space="preserve">)</t>
    </r>
  </si>
  <si>
    <t xml:space="preserve">F_g</t>
  </si>
  <si>
    <t xml:space="preserve">자화 전류</t>
  </si>
  <si>
    <t xml:space="preserve">I_m</t>
  </si>
  <si>
    <t xml:space="preserve">카탈로그 무효전류 이하</t>
  </si>
  <si>
    <t xml:space="preserve">자화 리액턴스</t>
  </si>
  <si>
    <t xml:space="preserve">X_m</t>
  </si>
  <si>
    <r>
      <rPr>
        <sz val="10"/>
        <rFont val="Noto Sans CJK SC"/>
        <family val="2"/>
      </rPr>
      <t xml:space="preserve">스큐 누설 리액턴스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근사</t>
    </r>
    <r>
      <rPr>
        <sz val="10"/>
        <rFont val="Arial"/>
        <family val="0"/>
        <charset val="1"/>
      </rPr>
      <t xml:space="preserve">)</t>
    </r>
  </si>
  <si>
    <t xml:space="preserve">X_sk</t>
  </si>
  <si>
    <t xml:space="preserve">X_m·(1−k_sk²)</t>
  </si>
  <si>
    <t xml:space="preserve">로터 환산 전류</t>
  </si>
  <si>
    <t xml:space="preserve">I_2'</t>
  </si>
  <si>
    <r>
      <rPr>
        <sz val="10"/>
        <rFont val="Noto Sans CJK SC"/>
        <family val="2"/>
      </rPr>
      <t xml:space="preserve">로터 환산 저항 </t>
    </r>
    <r>
      <rPr>
        <sz val="10"/>
        <rFont val="Arial"/>
        <family val="0"/>
        <charset val="1"/>
      </rPr>
      <t xml:space="preserve">(95 °C)</t>
    </r>
  </si>
  <si>
    <t xml:space="preserve">R_2'</t>
  </si>
  <si>
    <r>
      <rPr>
        <sz val="10"/>
        <rFont val="Noto Sans CJK SC"/>
        <family val="2"/>
      </rPr>
      <t xml:space="preserve">최대토크 슬립 </t>
    </r>
    <r>
      <rPr>
        <sz val="10"/>
        <rFont val="Arial"/>
        <family val="0"/>
        <charset val="1"/>
      </rPr>
      <t xml:space="preserve">(Kloss)</t>
    </r>
  </si>
  <si>
    <t xml:space="preserve">s_max</t>
  </si>
  <si>
    <r>
      <rPr>
        <sz val="10"/>
        <rFont val="Noto Sans CJK SC"/>
        <family val="2"/>
      </rPr>
      <t xml:space="preserve">누설 리액턴스 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비포화</t>
    </r>
    <r>
      <rPr>
        <sz val="10"/>
        <rFont val="Arial"/>
        <family val="0"/>
        <charset val="1"/>
      </rPr>
      <t xml:space="preserve">)</t>
    </r>
  </si>
  <si>
    <t xml:space="preserve">X_1+X_2'</t>
  </si>
  <si>
    <r>
      <rPr>
        <sz val="10"/>
        <rFont val="Noto Sans CJK SC"/>
        <family val="2"/>
      </rPr>
      <t xml:space="preserve">로터 관성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치수 검산</t>
    </r>
    <r>
      <rPr>
        <sz val="10"/>
        <rFont val="Arial"/>
        <family val="0"/>
        <charset val="1"/>
      </rPr>
      <t xml:space="preserve">)</t>
    </r>
  </si>
  <si>
    <t xml:space="preserve">J_calc</t>
  </si>
  <si>
    <r>
      <rPr>
        <sz val="10"/>
        <rFont val="Noto Sans CJK SC"/>
        <family val="2"/>
      </rPr>
      <t xml:space="preserve">중공 원통 근사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팬 제외</t>
    </r>
  </si>
  <si>
    <r>
      <rPr>
        <sz val="10"/>
        <rFont val="Noto Sans CJK SC"/>
        <family val="2"/>
      </rPr>
      <t xml:space="preserve">관성 오차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계산 − 카탈로그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카탈로그</t>
    </r>
  </si>
  <si>
    <r>
      <rPr>
        <b val="true"/>
        <sz val="10"/>
        <rFont val="Arial"/>
        <family val="0"/>
        <charset val="1"/>
      </rPr>
      <t xml:space="preserve">10. </t>
    </r>
    <r>
      <rPr>
        <b val="true"/>
        <sz val="10"/>
        <rFont val="Noto Sans CJK SC"/>
        <family val="2"/>
      </rPr>
      <t xml:space="preserve">현장 확인 항목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값은 가정 — 명판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분해로 교체</t>
    </r>
    <r>
      <rPr>
        <b val="true"/>
        <sz val="10"/>
        <rFont val="Arial"/>
        <family val="0"/>
        <charset val="1"/>
      </rPr>
      <t xml:space="preserve">)</t>
    </r>
  </si>
  <si>
    <t xml:space="preserve">로터 슬롯 수 실측</t>
  </si>
  <si>
    <t xml:space="preserve">현장확인</t>
  </si>
  <si>
    <r>
      <rPr>
        <sz val="10"/>
        <rFont val="Noto Sans CJK SC"/>
        <family val="2"/>
      </rPr>
      <t xml:space="preserve">로터 바 수 세기 또는 전류 </t>
    </r>
    <r>
      <rPr>
        <sz val="10"/>
        <rFont val="Arial"/>
        <family val="0"/>
        <charset val="1"/>
      </rPr>
      <t xml:space="preserve">RSH (28→761/881 Hz, 26→703/823, 32→879/999)</t>
    </r>
  </si>
  <si>
    <t xml:space="preserve">로터 스큐 실측</t>
  </si>
  <si>
    <t xml:space="preserve">로터 표면 바 자국 양단 어긋남</t>
  </si>
  <si>
    <r>
      <rPr>
        <sz val="10"/>
        <rFont val="Arial"/>
        <family val="0"/>
        <charset val="1"/>
      </rPr>
      <t xml:space="preserve">380 V </t>
    </r>
    <r>
      <rPr>
        <sz val="10"/>
        <rFont val="Noto Sans CJK SC"/>
        <family val="2"/>
      </rPr>
      <t xml:space="preserve">전용형 결선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</si>
  <si>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 Δ</t>
    </r>
    <r>
      <rPr>
        <sz val="10"/>
        <rFont val="Noto Sans CJK SC"/>
        <family val="2"/>
      </rPr>
      <t xml:space="preserve">면 </t>
    </r>
    <r>
      <rPr>
        <sz val="10"/>
        <rFont val="Arial"/>
        <family val="0"/>
        <charset val="1"/>
      </rPr>
      <t xml:space="preserve">N_c·√3, </t>
    </r>
    <r>
      <rPr>
        <sz val="10"/>
        <rFont val="Noto Sans CJK SC"/>
        <family val="2"/>
      </rPr>
      <t xml:space="preserve">소선 </t>
    </r>
    <r>
      <rPr>
        <sz val="10"/>
        <rFont val="Arial"/>
        <family val="0"/>
        <charset val="1"/>
      </rPr>
      <t xml:space="preserve">1×Ø0.95</t>
    </r>
  </si>
  <si>
    <t xml:space="preserve">코일당 턴수</t>
  </si>
  <si>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풀어 계수</t>
    </r>
    <r>
      <rPr>
        <sz val="10"/>
        <rFont val="Arial"/>
        <family val="0"/>
        <charset val="1"/>
      </rPr>
      <t xml:space="preserve">. ITSC </t>
    </r>
    <r>
      <rPr>
        <sz val="10"/>
        <rFont val="Noto Sans CJK SC"/>
        <family val="2"/>
      </rPr>
      <t xml:space="preserve">비율 정의로 영향 제거</t>
    </r>
  </si>
  <si>
    <t xml:space="preserve">결선도 또는 코일군 점퍼 관찰</t>
  </si>
  <si>
    <r>
      <rPr>
        <sz val="10"/>
        <rFont val="Noto Sans CJK SC"/>
        <family val="2"/>
      </rPr>
      <t xml:space="preserve">베어링 번호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</si>
  <si>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카탈로그 </t>
    </r>
    <r>
      <rPr>
        <sz val="10"/>
        <rFont val="Arial"/>
        <family val="0"/>
        <charset val="1"/>
      </rPr>
      <t xml:space="preserve">6206ZZC3 </t>
    </r>
    <r>
      <rPr>
        <sz val="10"/>
        <rFont val="Noto Sans CJK SC"/>
        <family val="2"/>
      </rPr>
      <t xml:space="preserve">확인</t>
    </r>
  </si>
  <si>
    <r>
      <rPr>
        <b val="true"/>
        <sz val="13"/>
        <rFont val="Noto Sans CJK SC"/>
        <family val="2"/>
      </rPr>
      <t xml:space="preserve">현대 </t>
    </r>
    <r>
      <rPr>
        <b val="true"/>
        <sz val="13"/>
        <rFont val="Arial"/>
        <family val="0"/>
        <charset val="1"/>
      </rPr>
      <t xml:space="preserve">SSEN HLP-2.2/4 (100L) — </t>
    </r>
    <r>
      <rPr>
        <b val="true"/>
        <sz val="13"/>
        <rFont val="Noto Sans CJK SC"/>
        <family val="2"/>
      </rPr>
      <t xml:space="preserve">카탈로그에서 직접 읽은 값</t>
    </r>
  </si>
  <si>
    <r>
      <rPr>
        <sz val="10"/>
        <rFont val="Noto Sans CJK SC"/>
        <family val="2"/>
      </rPr>
      <t xml:space="preserve">형식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카탈로그 번호</t>
    </r>
  </si>
  <si>
    <t xml:space="preserve">HLP-2.2/4 / P2P2TC276 (380 V)</t>
  </si>
  <si>
    <t xml:space="preserve">220/380 V: P2P2TC226, 440 V: P2P2TC216</t>
  </si>
  <si>
    <r>
      <rPr>
        <sz val="10"/>
        <rFont val="Noto Sans CJK SC"/>
        <family val="2"/>
      </rPr>
      <t xml:space="preserve">정격 출력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극수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프레임</t>
    </r>
  </si>
  <si>
    <t xml:space="preserve">2.2 kW / 4P / 100L</t>
  </si>
  <si>
    <t xml:space="preserve">1760</t>
  </si>
  <si>
    <t xml:space="preserve">정격 전압</t>
  </si>
  <si>
    <t xml:space="preserve">220/380, 380, 440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</si>
  <si>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상 </t>
    </r>
    <r>
      <rPr>
        <sz val="10"/>
        <rFont val="Arial"/>
        <family val="0"/>
        <charset val="1"/>
      </rPr>
      <t xml:space="preserve">60 Hz</t>
    </r>
  </si>
  <si>
    <r>
      <rPr>
        <sz val="10"/>
        <rFont val="Noto Sans CJK SC"/>
        <family val="2"/>
      </rPr>
      <t xml:space="preserve">정격 전류 </t>
    </r>
    <r>
      <rPr>
        <sz val="10"/>
        <rFont val="Arial"/>
        <family val="0"/>
        <charset val="1"/>
      </rPr>
      <t xml:space="preserve">220 / 380 / 440 V</t>
    </r>
  </si>
  <si>
    <t xml:space="preserve">8.17 / 4.73 / 4.08</t>
  </si>
  <si>
    <r>
      <rPr>
        <sz val="10"/>
        <rFont val="Noto Sans CJK SC"/>
        <family val="2"/>
      </rPr>
      <t xml:space="preserve">효율 </t>
    </r>
    <r>
      <rPr>
        <sz val="10"/>
        <rFont val="Arial"/>
        <family val="0"/>
        <charset val="1"/>
      </rPr>
      <t xml:space="preserve">100 / 75 / 50 %</t>
    </r>
  </si>
  <si>
    <t xml:space="preserve">89.5 / 89.4 / 88.0</t>
  </si>
  <si>
    <t xml:space="preserve">%</t>
  </si>
  <si>
    <r>
      <rPr>
        <sz val="10"/>
        <rFont val="Arial"/>
        <family val="0"/>
        <charset val="1"/>
      </rPr>
      <t xml:space="preserve">KS C 4202 </t>
    </r>
    <r>
      <rPr>
        <sz val="10"/>
        <rFont val="Noto Sans CJK SC"/>
        <family val="2"/>
      </rPr>
      <t xml:space="preserve">프리미엄</t>
    </r>
  </si>
  <si>
    <t xml:space="preserve">0.79</t>
  </si>
  <si>
    <r>
      <rPr>
        <sz val="10"/>
        <rFont val="Noto Sans CJK SC"/>
        <family val="2"/>
      </rPr>
      <t xml:space="preserve">기동 전류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기동 토크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최대 토크</t>
    </r>
  </si>
  <si>
    <t xml:space="preserve">650 % / 210 % / 250 %</t>
  </si>
  <si>
    <t xml:space="preserve">1.22</t>
  </si>
  <si>
    <t xml:space="preserve">kg·m</t>
  </si>
  <si>
    <t xml:space="preserve">≒ 11.96 N·m</t>
  </si>
  <si>
    <r>
      <rPr>
        <sz val="10"/>
        <rFont val="Arial"/>
        <family val="0"/>
        <charset val="1"/>
      </rPr>
      <t xml:space="preserve">Rotor GD² / </t>
    </r>
    <r>
      <rPr>
        <sz val="10"/>
        <rFont val="Noto Sans CJK SC"/>
        <family val="2"/>
      </rPr>
      <t xml:space="preserve">중량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소음</t>
    </r>
  </si>
  <si>
    <t xml:space="preserve">0.0080 / 41 / 60</t>
  </si>
  <si>
    <t xml:space="preserve">kg·m² / kg / dB(A)</t>
  </si>
  <si>
    <r>
      <rPr>
        <sz val="10"/>
        <rFont val="Noto Sans CJK SC"/>
        <family val="2"/>
      </rPr>
      <t xml:space="preserve">외함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냉각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보호</t>
    </r>
  </si>
  <si>
    <t xml:space="preserve">TEFC / IC411 / IP55</t>
  </si>
  <si>
    <r>
      <rPr>
        <sz val="10"/>
        <rFont val="Noto Sans CJK SC"/>
        <family val="2"/>
      </rPr>
      <t xml:space="preserve">회전자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권선</t>
    </r>
  </si>
  <si>
    <r>
      <rPr>
        <sz val="10"/>
        <rFont val="Arial"/>
        <family val="0"/>
        <charset val="1"/>
      </rPr>
      <t xml:space="preserve">Al </t>
    </r>
    <r>
      <rPr>
        <sz val="10"/>
        <rFont val="Noto Sans CJK SC"/>
        <family val="2"/>
      </rPr>
      <t xml:space="preserve">다이캐스팅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구리 에나멜선</t>
    </r>
  </si>
  <si>
    <r>
      <rPr>
        <sz val="10"/>
        <rFont val="Noto Sans CJK SC"/>
        <family val="2"/>
      </rPr>
      <t xml:space="preserve">설계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효율기준</t>
    </r>
  </si>
  <si>
    <t xml:space="preserve">NEMA B · IEC N / IE3</t>
  </si>
  <si>
    <t xml:space="preserve">2.8</t>
  </si>
  <si>
    <t xml:space="preserve">mm/s RMS</t>
  </si>
  <si>
    <r>
      <rPr>
        <sz val="10"/>
        <rFont val="Noto Sans CJK SC"/>
        <family val="2"/>
      </rPr>
      <t xml:space="preserve">치수 </t>
    </r>
    <r>
      <rPr>
        <sz val="10"/>
        <rFont val="Arial"/>
        <family val="0"/>
        <charset val="1"/>
      </rPr>
      <t xml:space="preserve">H / A / B1 / C</t>
    </r>
  </si>
  <si>
    <t xml:space="preserve">100 / 160 / 140 / 63</t>
  </si>
  <si>
    <r>
      <rPr>
        <sz val="10"/>
        <rFont val="Noto Sans CJK SC"/>
        <family val="2"/>
      </rPr>
      <t xml:space="preserve">치수 </t>
    </r>
    <r>
      <rPr>
        <sz val="10"/>
        <rFont val="Arial"/>
        <family val="0"/>
        <charset val="1"/>
      </rPr>
      <t xml:space="preserve">HC / HD / L</t>
    </r>
  </si>
  <si>
    <t xml:space="preserve">211 / 247 / 370</t>
  </si>
  <si>
    <r>
      <rPr>
        <sz val="10"/>
        <rFont val="Noto Sans CJK SC"/>
        <family val="2"/>
      </rPr>
      <t xml:space="preserve">축단 </t>
    </r>
    <r>
      <rPr>
        <sz val="10"/>
        <rFont val="Arial"/>
        <family val="0"/>
        <charset val="1"/>
      </rPr>
      <t xml:space="preserve">D / E / F / GE, </t>
    </r>
    <r>
      <rPr>
        <sz val="10"/>
        <rFont val="Noto Sans CJK SC"/>
        <family val="2"/>
      </rPr>
      <t xml:space="preserve">키</t>
    </r>
  </si>
  <si>
    <t xml:space="preserve">28 / 60 / 8 / 4, 8×7×45</t>
  </si>
  <si>
    <t xml:space="preserve">j6</t>
  </si>
  <si>
    <r>
      <rPr>
        <sz val="10"/>
        <rFont val="Noto Sans CJK SC"/>
        <family val="2"/>
      </rPr>
      <t xml:space="preserve">플랜지 </t>
    </r>
    <r>
      <rPr>
        <sz val="10"/>
        <rFont val="Arial"/>
        <family val="0"/>
        <charset val="1"/>
      </rPr>
      <t xml:space="preserve">FF215 M / N / P</t>
    </r>
  </si>
  <si>
    <t xml:space="preserve">215 / 180 / 250</t>
  </si>
  <si>
    <r>
      <rPr>
        <b val="true"/>
        <sz val="13"/>
        <rFont val="Noto Sans CJK SC"/>
        <family val="2"/>
      </rPr>
      <t xml:space="preserve">로터 슬롯 수 선정 — </t>
    </r>
    <r>
      <rPr>
        <b val="true"/>
        <sz val="13"/>
        <rFont val="Arial"/>
        <family val="0"/>
        <charset val="1"/>
      </rPr>
      <t xml:space="preserve">Q_s = 36, 4</t>
    </r>
    <r>
      <rPr>
        <b val="true"/>
        <sz val="13"/>
        <rFont val="Noto Sans CJK SC"/>
        <family val="2"/>
      </rPr>
      <t xml:space="preserve">극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Noto Sans CJK SC"/>
        <family val="2"/>
      </rPr>
      <t xml:space="preserve">스큐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고정자 슬롯피치 전제</t>
    </r>
  </si>
  <si>
    <r>
      <rPr>
        <i val="true"/>
        <sz val="9"/>
        <rFont val="Noto Sans CJK SC"/>
        <family val="2"/>
      </rPr>
      <t xml:space="preserve">기준</t>
    </r>
    <r>
      <rPr>
        <i val="true"/>
        <sz val="9"/>
        <rFont val="Arial"/>
        <family val="0"/>
        <charset val="1"/>
      </rPr>
      <t xml:space="preserve">: K1 </t>
    </r>
    <r>
      <rPr>
        <i val="true"/>
        <sz val="9"/>
        <rFont val="Noto Sans CJK SC"/>
        <family val="2"/>
      </rPr>
      <t xml:space="preserve">잠김 </t>
    </r>
    <r>
      <rPr>
        <i val="true"/>
        <sz val="9"/>
        <rFont val="Arial"/>
        <family val="0"/>
        <charset val="1"/>
      </rPr>
      <t xml:space="preserve">c·Q_r=g·Q_s / K2 </t>
    </r>
    <r>
      <rPr>
        <i val="true"/>
        <sz val="9"/>
        <rFont val="Noto Sans CJK SC"/>
        <family val="2"/>
      </rPr>
      <t xml:space="preserve">동기토크 </t>
    </r>
    <r>
      <rPr>
        <i val="true"/>
        <sz val="9"/>
        <rFont val="Arial"/>
        <family val="0"/>
        <charset val="1"/>
      </rPr>
      <t xml:space="preserve">|p±c·Q_r| = </t>
    </r>
    <r>
      <rPr>
        <i val="true"/>
        <sz val="9"/>
        <rFont val="Noto Sans CJK SC"/>
        <family val="2"/>
      </rPr>
      <t xml:space="preserve">고정자 고조파 극쌍수 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같은 방향→정지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Noto Sans CJK SC"/>
        <family val="2"/>
      </rPr>
      <t xml:space="preserve">반대→</t>
    </r>
    <r>
      <rPr>
        <i val="true"/>
        <sz val="9"/>
        <rFont val="Arial"/>
        <family val="0"/>
        <charset val="1"/>
      </rPr>
      <t xml:space="preserve">n=±120f/(cQ_r)) / K3 </t>
    </r>
    <r>
      <rPr>
        <i val="true"/>
        <sz val="9"/>
        <rFont val="Noto Sans CJK SC"/>
        <family val="2"/>
      </rPr>
      <t xml:space="preserve">힘파 차수 </t>
    </r>
    <r>
      <rPr>
        <i val="true"/>
        <sz val="9"/>
        <rFont val="Arial"/>
        <family val="0"/>
        <charset val="1"/>
      </rPr>
      <t xml:space="preserve">r=|Q_s−Q_r|, |Q_s−Q_r±2p| / K4 </t>
    </r>
    <r>
      <rPr>
        <i val="true"/>
        <sz val="9"/>
        <rFont val="Noto Sans CJK SC"/>
        <family val="2"/>
      </rPr>
      <t xml:space="preserve">짝수</t>
    </r>
    <r>
      <rPr>
        <i val="true"/>
        <sz val="9"/>
        <rFont val="Arial"/>
        <family val="0"/>
        <charset val="1"/>
      </rPr>
      <t xml:space="preserve">·0.7~1.3Q_s / K5 RSH </t>
    </r>
    <r>
      <rPr>
        <i val="true"/>
        <sz val="9"/>
        <rFont val="Noto Sans CJK SC"/>
        <family val="2"/>
      </rPr>
      <t xml:space="preserve">측정 대역</t>
    </r>
  </si>
  <si>
    <r>
      <rPr>
        <b val="true"/>
        <sz val="10"/>
        <color rgb="FFFFFFFF"/>
        <rFont val="Noto Sans CJK SC"/>
        <family val="2"/>
      </rPr>
      <t xml:space="preserve">힘파 차수 </t>
    </r>
    <r>
      <rPr>
        <b val="true"/>
        <sz val="10"/>
        <color rgb="FFFFFFFF"/>
        <rFont val="Arial"/>
        <family val="0"/>
        <charset val="1"/>
      </rPr>
      <t xml:space="preserve">r (1</t>
    </r>
    <r>
      <rPr>
        <b val="true"/>
        <sz val="10"/>
        <color rgb="FFFFFFFF"/>
        <rFont val="Noto Sans CJK SC"/>
        <family val="2"/>
      </rPr>
      <t xml:space="preserve">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</si>
  <si>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r_min</t>
  </si>
  <si>
    <t xml:space="preserve">동기 토크</t>
  </si>
  <si>
    <t xml:space="preserve">스큐 없이</t>
  </si>
  <si>
    <r>
      <rPr>
        <b val="true"/>
        <sz val="10"/>
        <color rgb="FFFFFFFF"/>
        <rFont val="Noto Sans CJK SC"/>
        <family val="2"/>
      </rPr>
      <t xml:space="preserve">스큐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슬롯</t>
    </r>
  </si>
  <si>
    <t xml:space="preserve">RSH @s=2.2 % (Hz)</t>
  </si>
  <si>
    <t xml:space="preserve">판정</t>
  </si>
  <si>
    <t xml:space="preserve">8, 12, 16</t>
  </si>
  <si>
    <r>
      <rPr>
        <sz val="10"/>
        <rFont val="Noto Sans CJK SC"/>
        <family val="2"/>
      </rPr>
      <t xml:space="preserve">정지 시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(6p </t>
    </r>
    <r>
      <rPr>
        <sz val="10"/>
        <rFont val="Noto Sans CJK SC"/>
        <family val="2"/>
      </rPr>
      <t xml:space="preserve">배수</t>
    </r>
    <r>
      <rPr>
        <sz val="10"/>
        <rFont val="Arial"/>
        <family val="0"/>
        <charset val="1"/>
      </rPr>
      <t xml:space="preserve">)</t>
    </r>
  </si>
  <si>
    <t xml:space="preserve">✗</t>
  </si>
  <si>
    <t xml:space="preserve">644 / 764</t>
  </si>
  <si>
    <t xml:space="preserve">제외</t>
  </si>
  <si>
    <t xml:space="preserve">6, 10, 14</t>
  </si>
  <si>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·c=2 (</t>
    </r>
    <r>
      <rPr>
        <sz val="10"/>
        <rFont val="Noto Sans CJK SC"/>
        <family val="2"/>
      </rPr>
      <t xml:space="preserve">무시</t>
    </r>
    <r>
      <rPr>
        <sz val="10"/>
        <rFont val="Arial"/>
        <family val="0"/>
        <charset val="1"/>
      </rPr>
      <t xml:space="preserve">)</t>
    </r>
  </si>
  <si>
    <t xml:space="preserve">✓ 최적</t>
  </si>
  <si>
    <t xml:space="preserve">703 / 823</t>
  </si>
  <si>
    <r>
      <rPr>
        <sz val="10"/>
        <rFont val="Noto Sans CJK SC"/>
        <family val="2"/>
      </rPr>
      <t xml:space="preserve">대안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스큐 없는 설계면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순위</t>
    </r>
    <r>
      <rPr>
        <sz val="10"/>
        <rFont val="Arial"/>
        <family val="0"/>
        <charset val="1"/>
      </rPr>
      <t xml:space="preserve">)</t>
    </r>
  </si>
  <si>
    <t xml:space="preserve">4, 8, 12</t>
  </si>
  <si>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차 → </t>
    </r>
    <r>
      <rPr>
        <sz val="10"/>
        <rFont val="Arial"/>
        <family val="0"/>
        <charset val="1"/>
      </rPr>
      <t xml:space="preserve">+257 rpm, </t>
    </r>
    <r>
      <rPr>
        <sz val="10"/>
        <rFont val="Noto Sans CJK SC"/>
        <family val="2"/>
      </rPr>
      <t xml:space="preserve">미약 </t>
    </r>
    <r>
      <rPr>
        <sz val="10"/>
        <rFont val="Arial"/>
        <family val="0"/>
        <charset val="1"/>
      </rPr>
      <t xml:space="preserve">(k_w13 0.14 × k_sk13 0.34)</t>
    </r>
  </si>
  <si>
    <t xml:space="preserve">△ (r=4)</t>
  </si>
  <si>
    <r>
      <rPr>
        <sz val="10"/>
        <rFont val="Arial"/>
        <family val="0"/>
        <charset val="1"/>
      </rPr>
      <t xml:space="preserve">✓ r=4 </t>
    </r>
    <r>
      <rPr>
        <sz val="10"/>
        <rFont val="Noto Sans CJK SC"/>
        <family val="2"/>
      </rPr>
      <t xml:space="preserve">힘파 </t>
    </r>
    <r>
      <rPr>
        <sz val="10"/>
        <rFont val="Arial"/>
        <family val="0"/>
        <charset val="1"/>
      </rPr>
      <t xml:space="preserve">95 % </t>
    </r>
    <r>
      <rPr>
        <sz val="10"/>
        <rFont val="Noto Sans CJK SC"/>
        <family val="2"/>
      </rPr>
      <t xml:space="preserve">감쇠</t>
    </r>
  </si>
  <si>
    <t xml:space="preserve">761 / 881</t>
  </si>
  <si>
    <r>
      <rPr>
        <sz val="10"/>
        <rFont val="Noto Sans CJK SC"/>
        <family val="2"/>
      </rPr>
      <t xml:space="preserve">★ 확정 — 스큐 전제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양산 관행</t>
    </r>
  </si>
  <si>
    <t xml:space="preserve">2, 6, 10</t>
  </si>
  <si>
    <t xml:space="preserve">✗ r=2</t>
  </si>
  <si>
    <t xml:space="preserve">820 / 940</t>
  </si>
  <si>
    <t xml:space="preserve">0, 4, 8</t>
  </si>
  <si>
    <r>
      <rPr>
        <sz val="10"/>
        <rFont val="Noto Sans CJK SC"/>
        <family val="2"/>
      </rPr>
      <t xml:space="preserve">슬롯 고조파 → −</t>
    </r>
    <r>
      <rPr>
        <sz val="10"/>
        <rFont val="Arial"/>
        <family val="0"/>
        <charset val="1"/>
      </rPr>
      <t xml:space="preserve">225 rpm</t>
    </r>
  </si>
  <si>
    <t xml:space="preserve">✗ r=0</t>
  </si>
  <si>
    <t xml:space="preserve">△ 일부 양산 시리즈 사용</t>
  </si>
  <si>
    <t xml:space="preserve">879 / 999</t>
  </si>
  <si>
    <r>
      <rPr>
        <sz val="10"/>
        <rFont val="Noto Sans CJK SC"/>
        <family val="2"/>
      </rPr>
      <t xml:space="preserve">제외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측정 후보에는 포함</t>
    </r>
    <r>
      <rPr>
        <sz val="10"/>
        <rFont val="Arial"/>
        <family val="0"/>
        <charset val="1"/>
      </rPr>
      <t xml:space="preserve">)</t>
    </r>
  </si>
  <si>
    <t xml:space="preserve">2, 6</t>
  </si>
  <si>
    <t xml:space="preserve">슬롯 고조파 역방향</t>
  </si>
  <si>
    <t xml:space="preserve">938 / 1058</t>
  </si>
  <si>
    <t xml:space="preserve">0, 4</t>
  </si>
  <si>
    <t xml:space="preserve">잠김</t>
  </si>
  <si>
    <t xml:space="preserve">996 / 1116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</si>
  <si>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슬롯 → </t>
    </r>
    <r>
      <rPr>
        <sz val="10"/>
        <rFont val="Arial"/>
        <family val="0"/>
        <charset val="1"/>
      </rPr>
      <t xml:space="preserve">+95 rpm</t>
    </r>
  </si>
  <si>
    <t xml:space="preserve">1055 / 1175</t>
  </si>
  <si>
    <r>
      <rPr>
        <sz val="10"/>
        <rFont val="Noto Sans CJK SC"/>
        <family val="2"/>
      </rPr>
      <t xml:space="preserve">슬롯 고조파 → </t>
    </r>
    <r>
      <rPr>
        <sz val="10"/>
        <rFont val="Arial"/>
        <family val="0"/>
        <charset val="1"/>
      </rPr>
      <t xml:space="preserve">+180 rpm </t>
    </r>
    <r>
      <rPr>
        <sz val="10"/>
        <rFont val="Noto Sans CJK SC"/>
        <family val="2"/>
      </rPr>
      <t xml:space="preserve">기동 중</t>
    </r>
  </si>
  <si>
    <t xml:space="preserve">1114 / 1234</t>
  </si>
  <si>
    <r>
      <rPr>
        <sz val="10"/>
        <rFont val="Noto Sans CJK SC"/>
        <family val="2"/>
      </rPr>
      <t xml:space="preserve">제외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최악</t>
    </r>
    <r>
      <rPr>
        <sz val="10"/>
        <rFont val="Arial"/>
        <family val="0"/>
        <charset val="1"/>
      </rPr>
      <t xml:space="preserve">)</t>
    </r>
  </si>
  <si>
    <t xml:space="preserve">1172 / 1292</t>
  </si>
  <si>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차 → −</t>
    </r>
    <r>
      <rPr>
        <sz val="10"/>
        <rFont val="Arial"/>
        <family val="0"/>
        <charset val="1"/>
      </rPr>
      <t xml:space="preserve">164 rpm, </t>
    </r>
    <r>
      <rPr>
        <sz val="10"/>
        <rFont val="Noto Sans CJK SC"/>
        <family val="2"/>
      </rPr>
      <t xml:space="preserve">미약</t>
    </r>
  </si>
  <si>
    <t xml:space="preserve">1231 / 1351</t>
  </si>
  <si>
    <r>
      <rPr>
        <sz val="10"/>
        <rFont val="Noto Sans CJK SC"/>
        <family val="2"/>
      </rPr>
      <t xml:space="preserve">대안 </t>
    </r>
    <r>
      <rPr>
        <sz val="10"/>
        <rFont val="Arial"/>
        <family val="0"/>
        <charset val="1"/>
      </rPr>
      <t xml:space="preserve">(Q_r&gt;Q_s, 2 kHz </t>
    </r>
    <r>
      <rPr>
        <sz val="10"/>
        <rFont val="Noto Sans CJK SC"/>
        <family val="2"/>
      </rPr>
      <t xml:space="preserve">전류로 </t>
    </r>
    <r>
      <rPr>
        <sz val="10"/>
        <rFont val="Arial"/>
        <family val="0"/>
        <charset val="1"/>
      </rPr>
      <t xml:space="preserve">RSH </t>
    </r>
    <r>
      <rPr>
        <sz val="10"/>
        <rFont val="Noto Sans CJK SC"/>
        <family val="2"/>
      </rPr>
      <t xml:space="preserve">확인 불가</t>
    </r>
    <r>
      <rPr>
        <sz val="10"/>
        <rFont val="Arial"/>
        <family val="0"/>
        <charset val="1"/>
      </rPr>
      <t xml:space="preserve">)</t>
    </r>
  </si>
  <si>
    <t xml:space="preserve">없음</t>
  </si>
  <si>
    <t xml:space="preserve">1290 / 1410</t>
  </si>
  <si>
    <r>
      <rPr>
        <sz val="10"/>
        <rFont val="Noto Sans CJK SC"/>
        <family val="2"/>
      </rPr>
      <t xml:space="preserve">대안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 가늘어짐</t>
    </r>
    <r>
      <rPr>
        <sz val="10"/>
        <rFont val="Arial"/>
        <family val="0"/>
        <charset val="1"/>
      </rPr>
      <t xml:space="preserve">, RSH </t>
    </r>
    <r>
      <rPr>
        <sz val="10"/>
        <rFont val="Noto Sans CJK SC"/>
        <family val="2"/>
      </rPr>
      <t xml:space="preserve">확인 불가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</si>
  <si>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rFont val="Noto Sans CJK SC"/>
        <family val="2"/>
      </rPr>
      <t xml:space="preserve">스큐 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슬롯</t>
    </r>
    <r>
      <rPr>
        <i val="true"/>
        <sz val="9"/>
        <rFont val="Arial"/>
        <family val="0"/>
        <charset val="1"/>
      </rPr>
      <t xml:space="preserve">(20° </t>
    </r>
    <r>
      <rPr>
        <i val="true"/>
        <sz val="9"/>
        <rFont val="Noto Sans CJK SC"/>
        <family val="2"/>
      </rPr>
      <t xml:space="preserve">전기각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에서 고정자 슬롯 고조파 </t>
    </r>
    <r>
      <rPr>
        <i val="true"/>
        <sz val="9"/>
        <rFont val="Arial"/>
        <family val="0"/>
        <charset val="1"/>
      </rPr>
      <t xml:space="preserve">17·19</t>
    </r>
    <r>
      <rPr>
        <i val="true"/>
        <sz val="9"/>
        <rFont val="Noto Sans CJK SC"/>
        <family val="2"/>
      </rPr>
      <t xml:space="preserve">차의 스큐 계수 </t>
    </r>
    <r>
      <rPr>
        <i val="true"/>
        <sz val="9"/>
        <rFont val="Arial"/>
        <family val="0"/>
        <charset val="1"/>
      </rPr>
      <t xml:space="preserve">0.059 / 0.052 → 28</t>
    </r>
    <r>
      <rPr>
        <i val="true"/>
        <sz val="9"/>
        <rFont val="Noto Sans CJK SC"/>
        <family val="2"/>
      </rPr>
      <t xml:space="preserve">의 </t>
    </r>
    <r>
      <rPr>
        <i val="true"/>
        <sz val="9"/>
        <rFont val="Arial"/>
        <family val="0"/>
        <charset val="1"/>
      </rPr>
      <t xml:space="preserve">r=4 </t>
    </r>
    <r>
      <rPr>
        <i val="true"/>
        <sz val="9"/>
        <rFont val="Noto Sans CJK SC"/>
        <family val="2"/>
      </rPr>
      <t xml:space="preserve">힘파와 </t>
    </r>
    <r>
      <rPr>
        <i val="true"/>
        <sz val="9"/>
        <rFont val="Arial"/>
        <family val="0"/>
        <charset val="1"/>
      </rPr>
      <t xml:space="preserve">32·40</t>
    </r>
    <r>
      <rPr>
        <i val="true"/>
        <sz val="9"/>
        <rFont val="Noto Sans CJK SC"/>
        <family val="2"/>
      </rPr>
      <t xml:space="preserve">의 슬롯 고조파 동기토크가 모두 </t>
    </r>
    <r>
      <rPr>
        <i val="true"/>
        <sz val="9"/>
        <rFont val="Arial"/>
        <family val="0"/>
        <charset val="1"/>
      </rPr>
      <t xml:space="preserve">~95 % </t>
    </r>
    <r>
      <rPr>
        <i val="true"/>
        <sz val="9"/>
        <rFont val="Noto Sans CJK SC"/>
        <family val="2"/>
      </rPr>
      <t xml:space="preserve">감쇠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따라서 스큐 전제에서는 </t>
    </r>
    <r>
      <rPr>
        <i val="true"/>
        <sz val="9"/>
        <rFont val="Arial"/>
        <family val="0"/>
        <charset val="1"/>
      </rPr>
      <t xml:space="preserve">26</t>
    </r>
    <r>
      <rPr>
        <i val="true"/>
        <sz val="9"/>
        <rFont val="Noto Sans CJK SC"/>
        <family val="2"/>
      </rPr>
      <t xml:space="preserve">과 </t>
    </r>
    <r>
      <rPr>
        <i val="true"/>
        <sz val="9"/>
        <rFont val="Arial"/>
        <family val="0"/>
        <charset val="1"/>
      </rPr>
      <t xml:space="preserve">28</t>
    </r>
    <r>
      <rPr>
        <i val="true"/>
        <sz val="9"/>
        <rFont val="Noto Sans CJK SC"/>
        <family val="2"/>
      </rPr>
      <t xml:space="preserve">이 동급이고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Noto Sans CJK SC"/>
        <family val="2"/>
      </rPr>
      <t xml:space="preserve">양산 관행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바 단면</t>
    </r>
    <r>
      <rPr>
        <i val="true"/>
        <sz val="9"/>
        <rFont val="Arial"/>
        <family val="0"/>
        <charset val="1"/>
      </rPr>
      <t xml:space="preserve">·RSH </t>
    </r>
    <r>
      <rPr>
        <i val="true"/>
        <sz val="9"/>
        <rFont val="Noto Sans CJK SC"/>
        <family val="2"/>
      </rPr>
      <t xml:space="preserve">관측성</t>
    </r>
    <r>
      <rPr>
        <i val="true"/>
        <sz val="9"/>
        <rFont val="Arial"/>
        <family val="0"/>
        <charset val="1"/>
      </rPr>
      <t xml:space="preserve">(&lt;1 kHz)</t>
    </r>
    <r>
      <rPr>
        <i val="true"/>
        <sz val="9"/>
        <rFont val="Noto Sans CJK SC"/>
        <family val="2"/>
      </rPr>
      <t xml:space="preserve">을 고려해 </t>
    </r>
    <r>
      <rPr>
        <i val="true"/>
        <sz val="9"/>
        <rFont val="Arial"/>
        <family val="0"/>
        <charset val="1"/>
      </rPr>
      <t xml:space="preserve">28 </t>
    </r>
    <r>
      <rPr>
        <i val="true"/>
        <sz val="9"/>
        <rFont val="Noto Sans CJK SC"/>
        <family val="2"/>
      </rPr>
      <t xml:space="preserve">확정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</si>
  <si>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Arial"/>
        <family val="0"/>
        <charset val="1"/>
      </rPr>
      <t xml:space="preserve">26 vs 28 </t>
    </r>
    <r>
      <rPr>
        <i val="true"/>
        <sz val="9"/>
        <rFont val="Noto Sans CJK SC"/>
        <family val="2"/>
      </rPr>
      <t xml:space="preserve">성능 차이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바 면적 </t>
    </r>
    <r>
      <rPr>
        <i val="true"/>
        <sz val="9"/>
        <rFont val="Arial"/>
        <family val="0"/>
        <charset val="1"/>
      </rPr>
      <t xml:space="preserve">7 % → </t>
    </r>
    <r>
      <rPr>
        <i val="true"/>
        <sz val="9"/>
        <rFont val="Noto Sans CJK SC"/>
        <family val="2"/>
      </rPr>
      <t xml:space="preserve">바 형상 보정으로 흡수</t>
    </r>
    <r>
      <rPr>
        <i val="true"/>
        <sz val="9"/>
        <rFont val="Arial"/>
        <family val="0"/>
        <charset val="1"/>
      </rPr>
      <t xml:space="preserve">. ITSC I₂/I₁ </t>
    </r>
    <r>
      <rPr>
        <i val="true"/>
        <sz val="9"/>
        <rFont val="Noto Sans CJK SC"/>
        <family val="2"/>
      </rPr>
      <t xml:space="preserve">에는 영향 없음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</si>
  <si>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Noto Sans CJK SC"/>
        <family val="2"/>
      </rPr>
      <t xml:space="preserve">실제 모터 값은 </t>
    </r>
    <r>
      <rPr>
        <i val="true"/>
        <sz val="9"/>
        <rFont val="Arial"/>
        <family val="0"/>
        <charset val="1"/>
      </rPr>
      <t xml:space="preserve">AI Hub L-SF-04 </t>
    </r>
    <r>
      <rPr>
        <i val="true"/>
        <sz val="9"/>
        <rFont val="Noto Sans CJK SC"/>
        <family val="2"/>
      </rPr>
      <t xml:space="preserve">전류 스펙트럼의 </t>
    </r>
    <r>
      <rPr>
        <i val="true"/>
        <sz val="9"/>
        <rFont val="Arial"/>
        <family val="0"/>
        <charset val="1"/>
      </rPr>
      <t xml:space="preserve">RSH </t>
    </r>
    <r>
      <rPr>
        <i val="true"/>
        <sz val="9"/>
        <rFont val="Noto Sans CJK SC"/>
        <family val="2"/>
      </rPr>
      <t xml:space="preserve">쌍</t>
    </r>
    <r>
      <rPr>
        <i val="true"/>
        <sz val="9"/>
        <rFont val="Arial"/>
        <family val="0"/>
        <charset val="1"/>
      </rPr>
      <t xml:space="preserve">(120 Hz </t>
    </r>
    <r>
      <rPr>
        <i val="true"/>
        <sz val="9"/>
        <rFont val="Noto Sans CJK SC"/>
        <family val="2"/>
      </rPr>
      <t xml:space="preserve">간격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으로 판별</t>
    </r>
    <r>
      <rPr>
        <i val="true"/>
        <sz val="9"/>
        <rFont val="Arial"/>
        <family val="0"/>
        <charset val="1"/>
      </rPr>
      <t xml:space="preserve">: 703/823 → 26, 761/881 → 28, 879/999 → 32. 1 kHz </t>
    </r>
    <r>
      <rPr>
        <i val="true"/>
        <sz val="9"/>
        <rFont val="Noto Sans CJK SC"/>
        <family val="2"/>
      </rPr>
      <t xml:space="preserve">아래에 쌍이 없으면 </t>
    </r>
    <r>
      <rPr>
        <i val="true"/>
        <sz val="9"/>
        <rFont val="Arial"/>
        <family val="0"/>
        <charset val="1"/>
      </rPr>
      <t xml:space="preserve">44 </t>
    </r>
    <r>
      <rPr>
        <i val="true"/>
        <sz val="9"/>
        <rFont val="Noto Sans CJK SC"/>
        <family val="2"/>
      </rPr>
      <t xml:space="preserve">이상 또는 안티에일리어싱 필터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</si>
  <si>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3"/>
        <rFont val="Arial"/>
        <family val="0"/>
        <charset val="1"/>
      </rPr>
      <t xml:space="preserve">RMxprt (Three-Phase Induction Motor) </t>
    </r>
    <r>
      <rPr>
        <b val="true"/>
        <sz val="13"/>
        <rFont val="Noto Sans CJK SC"/>
        <family val="2"/>
      </rPr>
      <t xml:space="preserve">입력 필드 매핑 — 값은 설계값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라이브</t>
    </r>
    <r>
      <rPr>
        <b val="true"/>
        <sz val="13"/>
        <rFont val="Arial"/>
        <family val="0"/>
        <charset val="1"/>
      </rPr>
      <t xml:space="preserve">) </t>
    </r>
    <r>
      <rPr>
        <b val="true"/>
        <sz val="13"/>
        <rFont val="Noto Sans CJK SC"/>
        <family val="2"/>
      </rPr>
      <t xml:space="preserve">링크</t>
    </r>
  </si>
  <si>
    <r>
      <rPr>
        <b val="true"/>
        <sz val="10"/>
        <color rgb="FFFFFFFF"/>
        <rFont val="Arial"/>
        <family val="0"/>
        <charset val="1"/>
      </rPr>
      <t xml:space="preserve">RMxprt </t>
    </r>
    <r>
      <rPr>
        <b val="true"/>
        <sz val="10"/>
        <color rgb="FFFFFFFF"/>
        <rFont val="Noto Sans CJK SC"/>
        <family val="2"/>
      </rPr>
      <t xml:space="preserve">패널</t>
    </r>
  </si>
  <si>
    <t xml:space="preserve">필드</t>
  </si>
  <si>
    <t xml:space="preserve">General</t>
  </si>
  <si>
    <t xml:space="preserve">Rated Output Power</t>
  </si>
  <si>
    <t xml:space="preserve">Rated Voltage (line)</t>
  </si>
  <si>
    <t xml:space="preserve">Number of Poles</t>
  </si>
  <si>
    <t xml:space="preserve">Frequency</t>
  </si>
  <si>
    <r>
      <rPr>
        <sz val="10"/>
        <rFont val="Arial"/>
        <family val="0"/>
        <charset val="1"/>
      </rPr>
      <t xml:space="preserve">Rated Speed (</t>
    </r>
    <r>
      <rPr>
        <sz val="10"/>
        <rFont val="Noto Sans CJK SC"/>
        <family val="2"/>
      </rPr>
      <t xml:space="preserve">목표</t>
    </r>
    <r>
      <rPr>
        <sz val="10"/>
        <rFont val="Arial"/>
        <family val="0"/>
        <charset val="1"/>
      </rPr>
      <t xml:space="preserve">)</t>
    </r>
  </si>
  <si>
    <t xml:space="preserve">결과 검증</t>
  </si>
  <si>
    <t xml:space="preserve">Winding Connection</t>
  </si>
  <si>
    <r>
      <rPr>
        <sz val="10"/>
        <rFont val="Arial"/>
        <family val="0"/>
        <charset val="1"/>
      </rPr>
      <t xml:space="preserve">Wye (220/380 </t>
    </r>
    <r>
      <rPr>
        <sz val="10"/>
        <rFont val="Noto Sans CJK SC"/>
        <family val="2"/>
      </rPr>
      <t xml:space="preserve">겸용형 </t>
    </r>
    <r>
      <rPr>
        <sz val="10"/>
        <rFont val="Arial"/>
        <family val="0"/>
        <charset val="1"/>
      </rPr>
      <t xml:space="preserve">380 V)</t>
    </r>
  </si>
  <si>
    <r>
      <rPr>
        <sz val="10"/>
        <rFont val="Arial"/>
        <family val="0"/>
        <charset val="1"/>
      </rPr>
      <t xml:space="preserve">380 V </t>
    </r>
    <r>
      <rPr>
        <sz val="10"/>
        <rFont val="Noto Sans CJK SC"/>
        <family val="2"/>
      </rPr>
      <t xml:space="preserve">전용형은 명판</t>
    </r>
  </si>
  <si>
    <t xml:space="preserve">Stator</t>
  </si>
  <si>
    <t xml:space="preserve">Outer Diameter</t>
  </si>
  <si>
    <t xml:space="preserve">Inner Diameter</t>
  </si>
  <si>
    <t xml:space="preserve">Length</t>
  </si>
  <si>
    <t xml:space="preserve">Stacking Factor</t>
  </si>
  <si>
    <t xml:space="preserve">Steel Type</t>
  </si>
  <si>
    <r>
      <rPr>
        <sz val="10"/>
        <rFont val="Noto Sans CJK SC"/>
        <family val="2"/>
      </rPr>
      <t xml:space="preserve">라이브러리 </t>
    </r>
    <r>
      <rPr>
        <sz val="10"/>
        <rFont val="Arial"/>
        <family val="0"/>
        <charset val="1"/>
      </rPr>
      <t xml:space="preserve">M400-50A (</t>
    </r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50PN400 </t>
    </r>
    <r>
      <rPr>
        <sz val="10"/>
        <rFont val="Noto Sans CJK SC"/>
        <family val="2"/>
      </rPr>
      <t xml:space="preserve">등가</t>
    </r>
    <r>
      <rPr>
        <sz val="10"/>
        <rFont val="Arial"/>
        <family val="0"/>
        <charset val="1"/>
      </rPr>
      <t xml:space="preserve">)</t>
    </r>
  </si>
  <si>
    <t xml:space="preserve">Number of Slots</t>
  </si>
  <si>
    <t xml:space="preserve">Slot Type</t>
  </si>
  <si>
    <t xml:space="preserve">3</t>
  </si>
  <si>
    <r>
      <rPr>
        <sz val="10"/>
        <rFont val="Noto Sans CJK SC"/>
        <family val="2"/>
      </rPr>
      <t xml:space="preserve">사다리꼴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반원 바닥</t>
    </r>
  </si>
  <si>
    <t xml:space="preserve">Stator Slot</t>
  </si>
  <si>
    <t xml:space="preserve">Stator Winding</t>
  </si>
  <si>
    <t xml:space="preserve">Winding Layers</t>
  </si>
  <si>
    <t xml:space="preserve">Winding Type</t>
  </si>
  <si>
    <t xml:space="preserve">Whole-Coiled (Lap)</t>
  </si>
  <si>
    <t xml:space="preserve">Parallel Branches</t>
  </si>
  <si>
    <t xml:space="preserve">Conductors per Slot</t>
  </si>
  <si>
    <t xml:space="preserve">Coil Pitch</t>
  </si>
  <si>
    <t xml:space="preserve">slots</t>
  </si>
  <si>
    <t xml:space="preserve">Number of Strands</t>
  </si>
  <si>
    <t xml:space="preserve">Wire Diameter (bare)</t>
  </si>
  <si>
    <r>
      <rPr>
        <sz val="10"/>
        <rFont val="Noto Sans CJK SC"/>
        <family val="2"/>
      </rPr>
      <t xml:space="preserve">절연 포함 ≈ </t>
    </r>
    <r>
      <rPr>
        <sz val="10"/>
        <rFont val="Arial"/>
        <family val="0"/>
        <charset val="1"/>
      </rPr>
      <t xml:space="preserve">0.98</t>
    </r>
  </si>
  <si>
    <r>
      <rPr>
        <sz val="10"/>
        <rFont val="Arial"/>
        <family val="0"/>
        <charset val="1"/>
      </rPr>
      <t xml:space="preserve">End Length (</t>
    </r>
    <r>
      <rPr>
        <sz val="10"/>
        <rFont val="Noto Sans CJK SC"/>
        <family val="2"/>
      </rPr>
      <t xml:space="preserve">편측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대체</t>
    </r>
    <r>
      <rPr>
        <sz val="10"/>
        <rFont val="Arial"/>
        <family val="0"/>
        <charset val="1"/>
      </rPr>
      <t xml:space="preserve">)</t>
    </r>
  </si>
  <si>
    <t xml:space="preserve">자동 생성 시 비교값</t>
  </si>
  <si>
    <t xml:space="preserve">Rotor</t>
  </si>
  <si>
    <t xml:space="preserve">Inner Diameter (shaft)</t>
  </si>
  <si>
    <r>
      <rPr>
        <sz val="10"/>
        <rFont val="Noto Sans CJK SC"/>
        <family val="2"/>
      </rPr>
      <t xml:space="preserve">★ 스큐 설계 확정 </t>
    </r>
    <r>
      <rPr>
        <sz val="10"/>
        <rFont val="Arial"/>
        <family val="0"/>
        <charset val="1"/>
      </rPr>
      <t xml:space="preserve">28</t>
    </r>
  </si>
  <si>
    <t xml:space="preserve">2</t>
  </si>
  <si>
    <r>
      <rPr>
        <sz val="10"/>
        <rFont val="Noto Sans CJK SC"/>
        <family val="2"/>
      </rPr>
      <t xml:space="preserve">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하 원형 배형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반폐</t>
    </r>
  </si>
  <si>
    <t xml:space="preserve">Skew Width</t>
  </si>
  <si>
    <t xml:space="preserve">stator slot pitch</t>
  </si>
  <si>
    <t xml:space="preserve">★ 1</t>
  </si>
  <si>
    <t xml:space="preserve">Rotor Slot</t>
  </si>
  <si>
    <t xml:space="preserve">브리지</t>
  </si>
  <si>
    <t xml:space="preserve">Rotor Winding (cage)</t>
  </si>
  <si>
    <t xml:space="preserve">Bar Conductor</t>
  </si>
  <si>
    <t xml:space="preserve">cast_aluminum</t>
  </si>
  <si>
    <r>
      <rPr>
        <sz val="10"/>
        <rFont val="Arial"/>
        <family val="0"/>
        <charset val="1"/>
      </rPr>
      <t xml:space="preserve">ρ 0.0283 @20 °C → 95 °C </t>
    </r>
    <r>
      <rPr>
        <sz val="10"/>
        <rFont val="Noto Sans CJK SC"/>
        <family val="2"/>
      </rPr>
      <t xml:space="preserve">보정</t>
    </r>
  </si>
  <si>
    <t xml:space="preserve">End Ring Height</t>
  </si>
  <si>
    <t xml:space="preserve">End Ring Width</t>
  </si>
  <si>
    <t xml:space="preserve">End Ring Conductor</t>
  </si>
  <si>
    <t xml:space="preserve">Motion / 3D</t>
  </si>
  <si>
    <t xml:space="preserve">Rotor Inertia</t>
  </si>
  <si>
    <t xml:space="preserve">Maxwell Motion setup</t>
  </si>
  <si>
    <t xml:space="preserve">Rotor skew twist angle (3D)</t>
  </si>
  <si>
    <r>
      <rPr>
        <sz val="10"/>
        <rFont val="Arial"/>
        <family val="0"/>
        <charset val="1"/>
      </rPr>
      <t xml:space="preserve">° (</t>
    </r>
    <r>
      <rPr>
        <sz val="10"/>
        <rFont val="Noto Sans CJK SC"/>
        <family val="2"/>
      </rPr>
      <t xml:space="preserve">축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</si>
  <si>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3D </t>
    </r>
    <r>
      <rPr>
        <sz val="10"/>
        <rFont val="Noto Sans CJK SC"/>
        <family val="2"/>
      </rPr>
      <t xml:space="preserve">로터 바 트위스트</t>
    </r>
  </si>
  <si>
    <t xml:space="preserve">Skew mechanical angle</t>
  </si>
  <si>
    <t xml:space="preserve">검증 목표</t>
  </si>
  <si>
    <t xml:space="preserve">Rated Current</t>
  </si>
  <si>
    <t xml:space="preserve">±5 %</t>
  </si>
  <si>
    <t xml:space="preserve">Efficiency</t>
  </si>
  <si>
    <t xml:space="preserve">±1.5 %p</t>
  </si>
  <si>
    <t xml:space="preserve">Power Factor</t>
  </si>
  <si>
    <t xml:space="preserve">±0.03</t>
  </si>
  <si>
    <t xml:space="preserve">Locked-rotor current ratio</t>
  </si>
  <si>
    <t xml:space="preserve">±10 %</t>
  </si>
  <si>
    <t xml:space="preserve">Locked-rotor torque ratio</t>
  </si>
  <si>
    <t xml:space="preserve">±15 %</t>
  </si>
  <si>
    <t xml:space="preserve">Breakdown torque ratio</t>
  </si>
  <si>
    <t xml:space="preserve">Stator resistance R1 (95 °C)</t>
  </si>
  <si>
    <t xml:space="preserve">Magnetizing current</t>
  </si>
  <si>
    <t xml:space="preserve">≤ 2.90 A</t>
  </si>
  <si>
    <r>
      <rPr>
        <b val="true"/>
        <sz val="13"/>
        <rFont val="Arial"/>
        <family val="0"/>
        <charset val="1"/>
      </rPr>
      <t xml:space="preserve">Maxwell ITSC </t>
    </r>
    <r>
      <rPr>
        <b val="true"/>
        <sz val="13"/>
        <rFont val="Noto Sans CJK SC"/>
        <family val="2"/>
      </rPr>
      <t xml:space="preserve">해석 케이스 — 상 턴수 비율로 정의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턴수 가정의 영향 제거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</si>
  <si>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상당 직렬 턴수 </t>
    </r>
    <r>
      <rPr>
        <b val="true"/>
        <sz val="10"/>
        <rFont val="Arial"/>
        <family val="0"/>
        <charset val="1"/>
      </rPr>
      <t xml:space="preserve">N_ph</t>
    </r>
  </si>
  <si>
    <r>
      <rPr>
        <b val="true"/>
        <sz val="10"/>
        <rFont val="Noto Sans CJK SC"/>
        <family val="2"/>
      </rPr>
      <t xml:space="preserve">코일당 턴수 </t>
    </r>
    <r>
      <rPr>
        <b val="true"/>
        <sz val="10"/>
        <rFont val="Arial"/>
        <family val="0"/>
        <charset val="1"/>
      </rPr>
      <t xml:space="preserve">N_c</t>
    </r>
  </si>
  <si>
    <t xml:space="preserve">케이스</t>
  </si>
  <si>
    <t xml:space="preserve">단락 턴 수</t>
  </si>
  <si>
    <t xml:space="preserve">상 턴수 비율</t>
  </si>
  <si>
    <t xml:space="preserve">코일 기준</t>
  </si>
  <si>
    <r>
      <rPr>
        <b val="true"/>
        <sz val="10"/>
        <color rgb="FFFFFFFF"/>
        <rFont val="Noto Sans CJK SC"/>
        <family val="2"/>
      </rPr>
      <t xml:space="preserve">단락 저항 </t>
    </r>
    <r>
      <rPr>
        <b val="true"/>
        <sz val="10"/>
        <color rgb="FFFFFFFF"/>
        <rFont val="Arial"/>
        <family val="0"/>
        <charset val="1"/>
      </rPr>
      <t xml:space="preserve">R_f</t>
    </r>
  </si>
  <si>
    <t xml:space="preserve">부하</t>
  </si>
  <si>
    <t xml:space="preserve">등가모델 대응</t>
  </si>
  <si>
    <r>
      <rPr>
        <sz val="10"/>
        <rFont val="Arial"/>
        <family val="0"/>
        <charset val="1"/>
      </rPr>
      <t xml:space="preserve">C0 </t>
    </r>
    <r>
      <rPr>
        <sz val="10"/>
        <rFont val="Noto Sans CJK SC"/>
        <family val="2"/>
      </rPr>
      <t xml:space="preserve">정상</t>
    </r>
  </si>
  <si>
    <t xml:space="preserve">0.1 Ω</t>
  </si>
  <si>
    <t xml:space="preserve">정격</t>
  </si>
  <si>
    <r>
      <rPr>
        <sz val="10"/>
        <rFont val="Arial"/>
        <family val="0"/>
        <charset val="1"/>
      </rPr>
      <t xml:space="preserve">I₂/I₁ ≈ 0.006 (</t>
    </r>
    <r>
      <rPr>
        <sz val="10"/>
        <rFont val="Noto Sans CJK SC"/>
        <family val="2"/>
      </rPr>
      <t xml:space="preserve">평형 전원</t>
    </r>
    <r>
      <rPr>
        <sz val="10"/>
        <rFont val="Arial"/>
        <family val="0"/>
        <charset val="1"/>
      </rPr>
      <t xml:space="preserve">)</t>
    </r>
  </si>
  <si>
    <t xml:space="preserve">기준선</t>
  </si>
  <si>
    <r>
      <rPr>
        <sz val="10"/>
        <rFont val="Arial"/>
        <family val="0"/>
        <charset val="1"/>
      </rPr>
      <t xml:space="preserve">C1 </t>
    </r>
    <r>
      <rPr>
        <sz val="10"/>
        <rFont val="Noto Sans CJK SC"/>
        <family val="2"/>
      </rPr>
      <t xml:space="preserve">초기</t>
    </r>
  </si>
  <si>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내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턴</t>
    </r>
  </si>
  <si>
    <r>
      <rPr>
        <sz val="10"/>
        <rFont val="Arial"/>
        <family val="0"/>
        <charset val="1"/>
      </rPr>
      <t xml:space="preserve">0.1 Ω (</t>
    </r>
    <r>
      <rPr>
        <sz val="10"/>
        <rFont val="Noto Sans CJK SC"/>
        <family val="2"/>
      </rPr>
      <t xml:space="preserve">금속 접촉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</si>
  <si>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등가모델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턴 </t>
    </r>
    <r>
      <rPr>
        <sz val="10"/>
        <rFont val="Arial"/>
        <family val="0"/>
        <charset val="1"/>
      </rPr>
      <t xml:space="preserve">(0.104)</t>
    </r>
  </si>
  <si>
    <t xml:space="preserve">등가모델의 턴 비율로 환산해 대응</t>
  </si>
  <si>
    <r>
      <rPr>
        <sz val="10"/>
        <rFont val="Arial"/>
        <family val="0"/>
        <charset val="1"/>
      </rPr>
      <t xml:space="preserve">C2 </t>
    </r>
    <r>
      <rPr>
        <sz val="10"/>
        <rFont val="Noto Sans CJK SC"/>
        <family val="2"/>
      </rPr>
      <t xml:space="preserve">진행</t>
    </r>
  </si>
  <si>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내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턴</t>
    </r>
  </si>
  <si>
    <r>
      <rPr>
        <sz val="10"/>
        <rFont val="Arial"/>
        <family val="0"/>
        <charset val="1"/>
      </rPr>
      <t xml:space="preserve">C3 </t>
    </r>
    <r>
      <rPr>
        <sz val="10"/>
        <rFont val="Noto Sans CJK SC"/>
        <family val="2"/>
      </rPr>
      <t xml:space="preserve">심화</t>
    </r>
  </si>
  <si>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턴</t>
    </r>
  </si>
  <si>
    <r>
      <rPr>
        <sz val="10"/>
        <rFont val="Noto Sans CJK SC"/>
        <family val="2"/>
      </rPr>
      <t xml:space="preserve">등가모델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턴 </t>
    </r>
    <r>
      <rPr>
        <sz val="10"/>
        <rFont val="Arial"/>
        <family val="0"/>
        <charset val="1"/>
      </rPr>
      <t xml:space="preserve">(0.269)</t>
    </r>
  </si>
  <si>
    <r>
      <rPr>
        <sz val="10"/>
        <rFont val="Arial"/>
        <family val="0"/>
        <charset val="1"/>
      </rPr>
      <t xml:space="preserve">C4 </t>
    </r>
    <r>
      <rPr>
        <sz val="10"/>
        <rFont val="Noto Sans CJK SC"/>
        <family val="2"/>
      </rPr>
      <t xml:space="preserve">코일 전체</t>
    </r>
  </si>
  <si>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전체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코일 간 절연 파괴형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</si>
  <si>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N_c </t>
    </r>
    <r>
      <rPr>
        <sz val="10"/>
        <rFont val="Noto Sans CJK SC"/>
        <family val="2"/>
      </rPr>
      <t xml:space="preserve">턴</t>
    </r>
  </si>
  <si>
    <r>
      <rPr>
        <sz val="10"/>
        <rFont val="Arial"/>
        <family val="0"/>
        <charset val="1"/>
      </rPr>
      <t xml:space="preserve">C5 2</t>
    </r>
    <r>
      <rPr>
        <sz val="10"/>
        <rFont val="Noto Sans CJK SC"/>
        <family val="2"/>
      </rPr>
      <t xml:space="preserve">코일</t>
    </r>
  </si>
  <si>
    <r>
      <rPr>
        <sz val="10"/>
        <rFont val="Noto Sans CJK SC"/>
        <family val="2"/>
      </rPr>
      <t xml:space="preserve">인접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코일 직렬</t>
    </r>
  </si>
  <si>
    <r>
      <rPr>
        <sz val="10"/>
        <rFont val="Arial"/>
        <family val="0"/>
        <charset val="1"/>
      </rPr>
      <t xml:space="preserve">C1-L </t>
    </r>
    <r>
      <rPr>
        <sz val="10"/>
        <rFont val="Noto Sans CJK SC"/>
        <family val="2"/>
      </rPr>
      <t xml:space="preserve">경부하</t>
    </r>
  </si>
  <si>
    <t xml:space="preserve">50 %</t>
  </si>
  <si>
    <t xml:space="preserve">부하 의존성</t>
  </si>
  <si>
    <r>
      <rPr>
        <sz val="10"/>
        <rFont val="Arial"/>
        <family val="0"/>
        <charset val="1"/>
      </rPr>
      <t xml:space="preserve">C1-R </t>
    </r>
    <r>
      <rPr>
        <sz val="10"/>
        <rFont val="Noto Sans CJK SC"/>
        <family val="2"/>
      </rPr>
      <t xml:space="preserve">저항성</t>
    </r>
  </si>
  <si>
    <r>
      <rPr>
        <sz val="10"/>
        <rFont val="Arial"/>
        <family val="0"/>
        <charset val="1"/>
      </rPr>
      <t xml:space="preserve">1.0 Ω (</t>
    </r>
    <r>
      <rPr>
        <sz val="10"/>
        <rFont val="Noto Sans CJK SC"/>
        <family val="2"/>
      </rPr>
      <t xml:space="preserve">절연 열화 초기</t>
    </r>
    <r>
      <rPr>
        <sz val="10"/>
        <rFont val="Arial"/>
        <family val="0"/>
        <charset val="1"/>
      </rPr>
      <t xml:space="preserve">)</t>
    </r>
  </si>
  <si>
    <t xml:space="preserve">저항 의존성</t>
  </si>
  <si>
    <r>
      <rPr>
        <i val="true"/>
        <sz val="9"/>
        <rFont val="Noto Sans CJK SC"/>
        <family val="2"/>
      </rPr>
      <t xml:space="preserve">단락 턴 수가 코일당 턴수</t>
    </r>
    <r>
      <rPr>
        <i val="true"/>
        <sz val="9"/>
        <rFont val="Arial"/>
        <family val="0"/>
        <charset val="1"/>
      </rPr>
      <t xml:space="preserve">(N_c)</t>
    </r>
    <r>
      <rPr>
        <i val="true"/>
        <sz val="9"/>
        <rFont val="Noto Sans CJK SC"/>
        <family val="2"/>
      </rPr>
      <t xml:space="preserve">를 넘으면 인접 코일로 확장해 정의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스큐는 기본파 성분</t>
    </r>
    <r>
      <rPr>
        <i val="true"/>
        <sz val="9"/>
        <rFont val="Arial"/>
        <family val="0"/>
        <charset val="1"/>
      </rPr>
      <t xml:space="preserve">(I₂/I₁)</t>
    </r>
    <r>
      <rPr>
        <i val="true"/>
        <sz val="9"/>
        <rFont val="Noto Sans CJK SC"/>
        <family val="2"/>
      </rPr>
      <t xml:space="preserve">에 영향 없음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</si>
  <si>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전류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진동 특징 주파수 — 설계값 링크 </t>
    </r>
    <r>
      <rPr>
        <b val="true"/>
        <sz val="13"/>
        <rFont val="Arial"/>
        <family val="0"/>
        <charset val="1"/>
      </rPr>
      <t xml:space="preserve">(Q_r·</t>
    </r>
    <r>
      <rPr>
        <b val="true"/>
        <sz val="13"/>
        <rFont val="Noto Sans CJK SC"/>
        <family val="2"/>
      </rPr>
      <t xml:space="preserve">슬립 변경 시 자동 갱신</t>
    </r>
    <r>
      <rPr>
        <b val="true"/>
        <sz val="13"/>
        <rFont val="Arial"/>
        <family val="0"/>
        <charset val="1"/>
      </rPr>
      <t xml:space="preserve">)</t>
    </r>
  </si>
  <si>
    <t xml:space="preserve">식</t>
  </si>
  <si>
    <t xml:space="preserve">용도</t>
  </si>
  <si>
    <r>
      <rPr>
        <sz val="10"/>
        <rFont val="Noto Sans CJK SC"/>
        <family val="2"/>
      </rPr>
      <t xml:space="preserve">회전 주파수 </t>
    </r>
    <r>
      <rPr>
        <sz val="10"/>
        <rFont val="Arial"/>
        <family val="0"/>
        <charset val="1"/>
      </rPr>
      <t xml:space="preserve">1×</t>
    </r>
  </si>
  <si>
    <t xml:space="preserve">n/60</t>
  </si>
  <si>
    <t xml:space="preserve">진동 기본</t>
  </si>
  <si>
    <t xml:space="preserve">슬립 주파수</t>
  </si>
  <si>
    <t xml:space="preserve">s·f</t>
  </si>
  <si>
    <r>
      <rPr>
        <sz val="10"/>
        <rFont val="Noto Sans CJK SC"/>
        <family val="2"/>
      </rPr>
      <t xml:space="preserve">로터 슬롯 고조파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하측</t>
    </r>
    <r>
      <rPr>
        <sz val="10"/>
        <rFont val="Arial"/>
        <family val="0"/>
        <charset val="1"/>
      </rPr>
      <t xml:space="preserve">)</t>
    </r>
  </si>
  <si>
    <t xml:space="preserve">f·[Q_r(1−s)/p − 1]</t>
  </si>
  <si>
    <r>
      <rPr>
        <sz val="10"/>
        <rFont val="Arial"/>
        <family val="0"/>
        <charset val="1"/>
      </rPr>
      <t xml:space="preserve">★ Q_r </t>
    </r>
    <r>
      <rPr>
        <sz val="10"/>
        <rFont val="Noto Sans CJK SC"/>
        <family val="2"/>
      </rPr>
      <t xml:space="preserve">판별</t>
    </r>
  </si>
  <si>
    <r>
      <rPr>
        <sz val="10"/>
        <rFont val="Noto Sans CJK SC"/>
        <family val="2"/>
      </rPr>
      <t xml:space="preserve">로터 슬롯 고조파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상측</t>
    </r>
    <r>
      <rPr>
        <sz val="10"/>
        <rFont val="Arial"/>
        <family val="0"/>
        <charset val="1"/>
      </rPr>
      <t xml:space="preserve">)</t>
    </r>
  </si>
  <si>
    <t xml:space="preserve">f·[Q_r(1−s)/p + 1]</t>
  </si>
  <si>
    <r>
      <rPr>
        <sz val="10"/>
        <rFont val="Noto Sans CJK SC"/>
        <family val="2"/>
      </rPr>
      <t xml:space="preserve">쌍 간격 </t>
    </r>
    <r>
      <rPr>
        <sz val="10"/>
        <rFont val="Arial"/>
        <family val="0"/>
        <charset val="1"/>
      </rPr>
      <t xml:space="preserve">2f = 120 Hz</t>
    </r>
  </si>
  <si>
    <t xml:space="preserve">로터 슬롯 통과 진동</t>
  </si>
  <si>
    <t xml:space="preserve">Q_r·n/60</t>
  </si>
  <si>
    <r>
      <rPr>
        <sz val="10"/>
        <rFont val="Noto Sans CJK SC"/>
        <family val="2"/>
      </rPr>
      <t xml:space="preserve">측대파 </t>
    </r>
    <r>
      <rPr>
        <sz val="10"/>
        <rFont val="Arial"/>
        <family val="0"/>
        <charset val="1"/>
      </rPr>
      <t xml:space="preserve">±2f</t>
    </r>
  </si>
  <si>
    <t xml:space="preserve">극 통과 주파수</t>
  </si>
  <si>
    <t xml:space="preserve">(n_s−n)/60·p</t>
  </si>
  <si>
    <t xml:space="preserve">로터 바 결함 측대파</t>
  </si>
  <si>
    <r>
      <rPr>
        <sz val="10"/>
        <rFont val="Arial"/>
        <family val="0"/>
        <charset val="1"/>
      </rPr>
      <t xml:space="preserve">ITSC </t>
    </r>
    <r>
      <rPr>
        <sz val="10"/>
        <rFont val="Noto Sans CJK SC"/>
        <family val="2"/>
      </rPr>
      <t xml:space="preserve">측대파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)</t>
    </r>
  </si>
  <si>
    <t xml:space="preserve">f·[1 ± 2k(1−s)/p]</t>
  </si>
  <si>
    <r>
      <rPr>
        <sz val="10"/>
        <rFont val="Noto Sans CJK SC"/>
        <family val="2"/>
      </rPr>
      <t xml:space="preserve">기본파 </t>
    </r>
    <r>
      <rPr>
        <sz val="10"/>
        <rFont val="Arial"/>
        <family val="0"/>
        <charset val="1"/>
      </rPr>
      <t xml:space="preserve">±(1−s)·f·2/p = 60 ± 58.7</t>
    </r>
  </si>
  <si>
    <r>
      <rPr>
        <sz val="10"/>
        <rFont val="Arial"/>
        <family val="0"/>
        <charset val="1"/>
      </rPr>
      <t xml:space="preserve">I₂/I₁ </t>
    </r>
    <r>
      <rPr>
        <sz val="10"/>
        <rFont val="Noto Sans CJK SC"/>
        <family val="2"/>
      </rPr>
      <t xml:space="preserve">가 주 지표</t>
    </r>
  </si>
  <si>
    <r>
      <rPr>
        <sz val="10"/>
        <rFont val="Noto Sans CJK SC"/>
        <family val="2"/>
      </rPr>
      <t xml:space="preserve">베어링 볼 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볼 지름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피치 지름 </t>
    </r>
    <r>
      <rPr>
        <sz val="10"/>
        <rFont val="Arial"/>
        <family val="0"/>
        <charset val="1"/>
      </rPr>
      <t xml:space="preserve">(6206)</t>
    </r>
  </si>
  <si>
    <t xml:space="preserve">규격</t>
  </si>
  <si>
    <t xml:space="preserve">9 / 9.525 / 46.0</t>
  </si>
  <si>
    <t xml:space="preserve">- / mm / mm</t>
  </si>
  <si>
    <r>
      <rPr>
        <sz val="10"/>
        <rFont val="Noto Sans CJK SC"/>
        <family val="2"/>
      </rPr>
      <t xml:space="preserve">외부 규격 </t>
    </r>
    <r>
      <rPr>
        <sz val="10"/>
        <rFont val="Arial"/>
        <family val="0"/>
        <charset val="1"/>
      </rPr>
      <t xml:space="preserve">(SKF)</t>
    </r>
  </si>
  <si>
    <t xml:space="preserve">BPFO</t>
  </si>
  <si>
    <t xml:space="preserve">N_b/2·f_r·(1−D_w/d_m)</t>
  </si>
  <si>
    <t xml:space="preserve">외륜 결함</t>
  </si>
  <si>
    <t xml:space="preserve">BPFI</t>
  </si>
  <si>
    <t xml:space="preserve">N_b/2·f_r·(1+D_w/d_m)</t>
  </si>
  <si>
    <t xml:space="preserve">내륜 결함</t>
  </si>
  <si>
    <t xml:space="preserve">BSF</t>
  </si>
  <si>
    <t xml:space="preserve">d_m/(2D_w)·f_r·(1−(D_w/d_m)²)</t>
  </si>
  <si>
    <t xml:space="preserve">볼 결함</t>
  </si>
  <si>
    <t xml:space="preserve">FTF</t>
  </si>
  <si>
    <t xml:space="preserve">f_r/2·(1−D_w/d_m)</t>
  </si>
  <si>
    <t xml:space="preserve">케이지</t>
  </si>
  <si>
    <r>
      <rPr>
        <b val="true"/>
        <sz val="13"/>
        <rFont val="Noto Sans CJK SC"/>
        <family val="2"/>
      </rPr>
      <t xml:space="preserve">고정자 권선 배치 — </t>
    </r>
    <r>
      <rPr>
        <b val="true"/>
        <sz val="13"/>
        <rFont val="Arial"/>
        <family val="0"/>
        <charset val="1"/>
      </rPr>
      <t xml:space="preserve">36</t>
    </r>
    <r>
      <rPr>
        <b val="true"/>
        <sz val="13"/>
        <rFont val="Noto Sans CJK SC"/>
        <family val="2"/>
      </rPr>
      <t xml:space="preserve">슬롯 </t>
    </r>
    <r>
      <rPr>
        <b val="true"/>
        <sz val="13"/>
        <rFont val="Arial"/>
        <family val="0"/>
        <charset val="1"/>
      </rPr>
      <t xml:space="preserve">/ 4</t>
    </r>
    <r>
      <rPr>
        <b val="true"/>
        <sz val="13"/>
        <rFont val="Noto Sans CJK SC"/>
        <family val="2"/>
      </rPr>
      <t xml:space="preserve">극 </t>
    </r>
    <r>
      <rPr>
        <b val="true"/>
        <sz val="13"/>
        <rFont val="Arial"/>
        <family val="0"/>
        <charset val="1"/>
      </rPr>
      <t xml:space="preserve">/ 3</t>
    </r>
    <r>
      <rPr>
        <b val="true"/>
        <sz val="13"/>
        <rFont val="Noto Sans CJK SC"/>
        <family val="2"/>
      </rPr>
      <t xml:space="preserve">상 </t>
    </r>
    <r>
      <rPr>
        <b val="true"/>
        <sz val="13"/>
        <rFont val="Arial"/>
        <family val="0"/>
        <charset val="1"/>
      </rPr>
      <t xml:space="preserve">/ 2</t>
    </r>
    <r>
      <rPr>
        <b val="true"/>
        <sz val="13"/>
        <rFont val="Noto Sans CJK SC"/>
        <family val="2"/>
      </rPr>
      <t xml:space="preserve">층 중권 </t>
    </r>
    <r>
      <rPr>
        <b val="true"/>
        <sz val="13"/>
        <rFont val="Arial"/>
        <family val="0"/>
        <charset val="1"/>
      </rPr>
      <t xml:space="preserve">/ </t>
    </r>
    <r>
      <rPr>
        <b val="true"/>
        <sz val="13"/>
        <rFont val="Noto Sans CJK SC"/>
        <family val="2"/>
      </rPr>
      <t xml:space="preserve">코일 피치 </t>
    </r>
    <r>
      <rPr>
        <b val="true"/>
        <sz val="13"/>
        <rFont val="Arial"/>
        <family val="0"/>
        <charset val="1"/>
      </rPr>
      <t xml:space="preserve">8 (q = 3, </t>
    </r>
    <r>
      <rPr>
        <b val="true"/>
        <sz val="13"/>
        <rFont val="Noto Sans CJK SC"/>
        <family val="2"/>
      </rPr>
      <t xml:space="preserve">상대 </t>
    </r>
    <r>
      <rPr>
        <b val="true"/>
        <sz val="13"/>
        <rFont val="Arial"/>
        <family val="0"/>
        <charset val="1"/>
      </rPr>
      <t xml:space="preserve">60°)</t>
    </r>
  </si>
  <si>
    <r>
      <rPr>
        <i val="true"/>
        <sz val="9"/>
        <rFont val="Noto Sans CJK SC"/>
        <family val="2"/>
      </rPr>
      <t xml:space="preserve">코일 </t>
    </r>
    <r>
      <rPr>
        <i val="true"/>
        <sz val="9"/>
        <rFont val="Arial"/>
        <family val="0"/>
        <charset val="1"/>
      </rPr>
      <t xml:space="preserve">i: </t>
    </r>
    <r>
      <rPr>
        <i val="true"/>
        <sz val="9"/>
        <rFont val="Noto Sans CJK SC"/>
        <family val="2"/>
      </rPr>
      <t xml:space="preserve">상층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슬롯 </t>
    </r>
    <r>
      <rPr>
        <i val="true"/>
        <sz val="9"/>
        <rFont val="Arial"/>
        <family val="0"/>
        <charset val="1"/>
      </rPr>
      <t xml:space="preserve">i, </t>
    </r>
    <r>
      <rPr>
        <i val="true"/>
        <sz val="9"/>
        <rFont val="Noto Sans CJK SC"/>
        <family val="2"/>
      </rPr>
      <t xml:space="preserve">하층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슬롯 </t>
    </r>
    <r>
      <rPr>
        <i val="true"/>
        <sz val="9"/>
        <rFont val="Arial"/>
        <family val="0"/>
        <charset val="1"/>
      </rPr>
      <t xml:space="preserve">i+8 (</t>
    </r>
    <r>
      <rPr>
        <i val="true"/>
        <sz val="9"/>
        <rFont val="Noto Sans CJK SC"/>
        <family val="2"/>
      </rPr>
      <t xml:space="preserve">반대 극성</t>
    </r>
    <r>
      <rPr>
        <i val="true"/>
        <sz val="9"/>
        <rFont val="Arial"/>
        <family val="0"/>
        <charset val="1"/>
      </rPr>
      <t xml:space="preserve">). </t>
    </r>
    <r>
      <rPr>
        <i val="true"/>
        <sz val="9"/>
        <rFont val="Noto Sans CJK SC"/>
        <family val="2"/>
      </rPr>
      <t xml:space="preserve">상 순서 </t>
    </r>
    <r>
      <rPr>
        <i val="true"/>
        <sz val="9"/>
        <rFont val="Arial"/>
        <family val="0"/>
        <charset val="1"/>
      </rPr>
      <t xml:space="preserve">A+ C− B+ A− C+ B− (</t>
    </r>
    <r>
      <rPr>
        <i val="true"/>
        <sz val="9"/>
        <rFont val="Noto Sans CJK SC"/>
        <family val="2"/>
      </rPr>
      <t xml:space="preserve">각 </t>
    </r>
    <r>
      <rPr>
        <i val="true"/>
        <sz val="9"/>
        <rFont val="Arial"/>
        <family val="0"/>
        <charset val="1"/>
      </rPr>
      <t xml:space="preserve">3</t>
    </r>
    <r>
      <rPr>
        <i val="true"/>
        <sz val="9"/>
        <rFont val="Noto Sans CJK SC"/>
        <family val="2"/>
      </rPr>
      <t xml:space="preserve">슬롯</t>
    </r>
    <r>
      <rPr>
        <i val="true"/>
        <sz val="9"/>
        <rFont val="Arial"/>
        <family val="0"/>
        <charset val="1"/>
      </rPr>
      <t xml:space="preserve">). Maxwell 3D</t>
    </r>
    <r>
      <rPr>
        <i val="true"/>
        <sz val="9"/>
        <rFont val="Noto Sans CJK SC"/>
        <family val="2"/>
      </rPr>
      <t xml:space="preserve">에서 각 코일이 솔리드 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개 → 코일 터미널 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개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</si>
  <si>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상층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코일 </t>
    </r>
    <r>
      <rPr>
        <b val="true"/>
        <sz val="10"/>
        <color rgb="FFFFFFFF"/>
        <rFont val="Arial"/>
        <family val="0"/>
        <charset val="1"/>
      </rPr>
      <t xml:space="preserve">i </t>
    </r>
    <r>
      <rPr>
        <b val="true"/>
        <sz val="10"/>
        <color rgb="FFFFFFFF"/>
        <rFont val="Noto Sans CJK SC"/>
        <family val="2"/>
      </rPr>
      <t xml:space="preserve">시작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</si>
  <si>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하층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코일 </t>
    </r>
    <r>
      <rPr>
        <b val="true"/>
        <sz val="10"/>
        <color rgb="FFFFFFFF"/>
        <rFont val="Arial"/>
        <family val="0"/>
        <charset val="1"/>
      </rPr>
      <t xml:space="preserve">i−8 </t>
    </r>
    <r>
      <rPr>
        <b val="true"/>
        <sz val="10"/>
        <color rgb="FFFFFFFF"/>
        <rFont val="Noto Sans CJK SC"/>
        <family val="2"/>
      </rPr>
      <t xml:space="preserve">끝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</si>
  <si>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코일 번호</t>
  </si>
  <si>
    <t xml:space="preserve">코일 상</t>
  </si>
  <si>
    <r>
      <rPr>
        <b val="true"/>
        <sz val="10"/>
        <color rgb="FFFFFFFF"/>
        <rFont val="Arial"/>
        <family val="0"/>
        <charset val="1"/>
      </rPr>
      <t xml:space="preserve">Maxwell Winding </t>
    </r>
    <r>
      <rPr>
        <b val="true"/>
        <sz val="10"/>
        <color rgb="FFFFFFFF"/>
        <rFont val="Noto Sans CJK SC"/>
        <family val="2"/>
      </rPr>
      <t xml:space="preserve">이름</t>
    </r>
  </si>
  <si>
    <t xml:space="preserve">결함 코일 지정</t>
  </si>
  <si>
    <t xml:space="preserve">A+</t>
  </si>
  <si>
    <r>
      <rPr>
        <sz val="10"/>
        <rFont val="Arial"/>
        <family val="0"/>
        <charset val="1"/>
      </rPr>
      <t xml:space="preserve">A+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29)</t>
    </r>
  </si>
  <si>
    <t xml:space="preserve">PhaseA</t>
  </si>
  <si>
    <r>
      <rPr>
        <sz val="10"/>
        <rFont val="Noto Sans CJK SC"/>
        <family val="2"/>
      </rPr>
      <t xml:space="preserve">★ 결함 코일 </t>
    </r>
    <r>
      <rPr>
        <sz val="10"/>
        <rFont val="Arial"/>
        <family val="0"/>
        <charset val="1"/>
      </rPr>
      <t xml:space="preserve">(Coil_1: </t>
    </r>
    <r>
      <rPr>
        <sz val="10"/>
        <rFont val="Noto Sans CJK SC"/>
        <family val="2"/>
      </rPr>
      <t xml:space="preserve">슬롯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상층 ↔ 슬롯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하층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</si>
  <si>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30)</t>
    </r>
  </si>
  <si>
    <r>
      <rPr>
        <sz val="10"/>
        <rFont val="Arial"/>
        <family val="0"/>
        <charset val="1"/>
      </rPr>
      <t xml:space="preserve">C-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31)</t>
    </r>
  </si>
  <si>
    <t xml:space="preserve">C-</t>
  </si>
  <si>
    <r>
      <rPr>
        <sz val="10"/>
        <rFont val="Arial"/>
        <family val="0"/>
        <charset val="1"/>
      </rPr>
      <t xml:space="preserve">C-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32)</t>
    </r>
  </si>
  <si>
    <t xml:space="preserve">C</t>
  </si>
  <si>
    <t xml:space="preserve">PhaseC</t>
  </si>
  <si>
    <r>
      <rPr>
        <sz val="10"/>
        <rFont val="Arial"/>
        <family val="0"/>
        <charset val="1"/>
      </rPr>
      <t xml:space="preserve">C-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33)</t>
    </r>
  </si>
  <si>
    <r>
      <rPr>
        <sz val="10"/>
        <rFont val="Arial"/>
        <family val="0"/>
        <charset val="1"/>
      </rPr>
      <t xml:space="preserve">B+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34)</t>
    </r>
  </si>
  <si>
    <t xml:space="preserve">B+</t>
  </si>
  <si>
    <r>
      <rPr>
        <sz val="10"/>
        <rFont val="Arial"/>
        <family val="0"/>
        <charset val="1"/>
      </rPr>
      <t xml:space="preserve">B+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35)</t>
    </r>
  </si>
  <si>
    <t xml:space="preserve">B</t>
  </si>
  <si>
    <t xml:space="preserve">PhaseB</t>
  </si>
  <si>
    <r>
      <rPr>
        <sz val="10"/>
        <rFont val="Arial"/>
        <family val="0"/>
        <charset val="1"/>
      </rPr>
      <t xml:space="preserve">B+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36)</t>
    </r>
  </si>
  <si>
    <r>
      <rPr>
        <sz val="10"/>
        <rFont val="Arial"/>
        <family val="0"/>
        <charset val="1"/>
      </rPr>
      <t xml:space="preserve">A-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1)</t>
    </r>
  </si>
  <si>
    <t xml:space="preserve">A-</t>
  </si>
  <si>
    <r>
      <rPr>
        <sz val="10"/>
        <rFont val="Arial"/>
        <family val="0"/>
        <charset val="1"/>
      </rPr>
      <t xml:space="preserve">A-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2)</t>
    </r>
  </si>
  <si>
    <r>
      <rPr>
        <sz val="10"/>
        <rFont val="Arial"/>
        <family val="0"/>
        <charset val="1"/>
      </rPr>
      <t xml:space="preserve">A-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3)</t>
    </r>
  </si>
  <si>
    <r>
      <rPr>
        <sz val="10"/>
        <rFont val="Arial"/>
        <family val="0"/>
        <charset val="1"/>
      </rPr>
      <t xml:space="preserve">C+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4)</t>
    </r>
  </si>
  <si>
    <t xml:space="preserve">C+</t>
  </si>
  <si>
    <r>
      <rPr>
        <sz val="10"/>
        <rFont val="Arial"/>
        <family val="0"/>
        <charset val="1"/>
      </rPr>
      <t xml:space="preserve">C+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5)</t>
    </r>
  </si>
  <si>
    <r>
      <rPr>
        <sz val="10"/>
        <rFont val="Arial"/>
        <family val="0"/>
        <charset val="1"/>
      </rPr>
      <t xml:space="preserve">C+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6)</t>
    </r>
  </si>
  <si>
    <r>
      <rPr>
        <sz val="10"/>
        <rFont val="Arial"/>
        <family val="0"/>
        <charset val="1"/>
      </rPr>
      <t xml:space="preserve">B-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7)</t>
    </r>
  </si>
  <si>
    <t xml:space="preserve">B-</t>
  </si>
  <si>
    <r>
      <rPr>
        <sz val="10"/>
        <rFont val="Arial"/>
        <family val="0"/>
        <charset val="1"/>
      </rPr>
      <t xml:space="preserve">B-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8)</t>
    </r>
  </si>
  <si>
    <r>
      <rPr>
        <sz val="10"/>
        <rFont val="Arial"/>
        <family val="0"/>
        <charset val="1"/>
      </rPr>
      <t xml:space="preserve">B-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9)</t>
    </r>
  </si>
  <si>
    <r>
      <rPr>
        <sz val="10"/>
        <rFont val="Arial"/>
        <family val="0"/>
        <charset val="1"/>
      </rPr>
      <t xml:space="preserve">A+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10)</t>
    </r>
  </si>
  <si>
    <r>
      <rPr>
        <sz val="10"/>
        <rFont val="Arial"/>
        <family val="0"/>
        <charset val="1"/>
      </rPr>
      <t xml:space="preserve">A+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11)</t>
    </r>
  </si>
  <si>
    <r>
      <rPr>
        <sz val="10"/>
        <rFont val="Arial"/>
        <family val="0"/>
        <charset val="1"/>
      </rPr>
      <t xml:space="preserve">A+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12)</t>
    </r>
  </si>
  <si>
    <r>
      <rPr>
        <sz val="10"/>
        <rFont val="Arial"/>
        <family val="0"/>
        <charset val="1"/>
      </rPr>
      <t xml:space="preserve">C-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13)</t>
    </r>
  </si>
  <si>
    <r>
      <rPr>
        <sz val="10"/>
        <rFont val="Arial"/>
        <family val="0"/>
        <charset val="1"/>
      </rPr>
      <t xml:space="preserve">C-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14)</t>
    </r>
  </si>
  <si>
    <r>
      <rPr>
        <sz val="10"/>
        <rFont val="Arial"/>
        <family val="0"/>
        <charset val="1"/>
      </rPr>
      <t xml:space="preserve">C-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15)</t>
    </r>
  </si>
  <si>
    <r>
      <rPr>
        <sz val="10"/>
        <rFont val="Arial"/>
        <family val="0"/>
        <charset val="1"/>
      </rPr>
      <t xml:space="preserve">B+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16)</t>
    </r>
  </si>
  <si>
    <r>
      <rPr>
        <sz val="10"/>
        <rFont val="Arial"/>
        <family val="0"/>
        <charset val="1"/>
      </rPr>
      <t xml:space="preserve">B+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17)</t>
    </r>
  </si>
  <si>
    <r>
      <rPr>
        <sz val="10"/>
        <rFont val="Arial"/>
        <family val="0"/>
        <charset val="1"/>
      </rPr>
      <t xml:space="preserve">B+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18)</t>
    </r>
  </si>
  <si>
    <r>
      <rPr>
        <sz val="10"/>
        <rFont val="Arial"/>
        <family val="0"/>
        <charset val="1"/>
      </rPr>
      <t xml:space="preserve">A-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19)</t>
    </r>
  </si>
  <si>
    <r>
      <rPr>
        <sz val="10"/>
        <rFont val="Arial"/>
        <family val="0"/>
        <charset val="1"/>
      </rPr>
      <t xml:space="preserve">A-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20)</t>
    </r>
  </si>
  <si>
    <r>
      <rPr>
        <sz val="10"/>
        <rFont val="Arial"/>
        <family val="0"/>
        <charset val="1"/>
      </rPr>
      <t xml:space="preserve">A-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21)</t>
    </r>
  </si>
  <si>
    <r>
      <rPr>
        <sz val="10"/>
        <rFont val="Arial"/>
        <family val="0"/>
        <charset val="1"/>
      </rPr>
      <t xml:space="preserve">C+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22)</t>
    </r>
  </si>
  <si>
    <r>
      <rPr>
        <sz val="10"/>
        <rFont val="Arial"/>
        <family val="0"/>
        <charset val="1"/>
      </rPr>
      <t xml:space="preserve">C+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23)</t>
    </r>
  </si>
  <si>
    <r>
      <rPr>
        <sz val="10"/>
        <rFont val="Arial"/>
        <family val="0"/>
        <charset val="1"/>
      </rPr>
      <t xml:space="preserve">C+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24)</t>
    </r>
  </si>
  <si>
    <r>
      <rPr>
        <sz val="10"/>
        <rFont val="Arial"/>
        <family val="0"/>
        <charset val="1"/>
      </rPr>
      <t xml:space="preserve">B-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25)</t>
    </r>
  </si>
  <si>
    <r>
      <rPr>
        <sz val="10"/>
        <rFont val="Arial"/>
        <family val="0"/>
        <charset val="1"/>
      </rPr>
      <t xml:space="preserve">B-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26)</t>
    </r>
  </si>
  <si>
    <r>
      <rPr>
        <sz val="10"/>
        <rFont val="Arial"/>
        <family val="0"/>
        <charset val="1"/>
      </rPr>
      <t xml:space="preserve">B-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27)</t>
    </r>
  </si>
  <si>
    <r>
      <rPr>
        <sz val="10"/>
        <rFont val="Arial"/>
        <family val="0"/>
        <charset val="1"/>
      </rPr>
      <t xml:space="preserve">A+ (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28)</t>
    </r>
  </si>
  <si>
    <r>
      <rPr>
        <i val="true"/>
        <sz val="9"/>
        <rFont val="Noto Sans CJK SC"/>
        <family val="2"/>
      </rPr>
      <t xml:space="preserve">결함 코일 모델링 </t>
    </r>
    <r>
      <rPr>
        <i val="true"/>
        <sz val="9"/>
        <rFont val="Arial"/>
        <family val="0"/>
        <charset val="1"/>
      </rPr>
      <t xml:space="preserve">(ITSC): Coil_1 </t>
    </r>
    <r>
      <rPr>
        <i val="true"/>
        <sz val="9"/>
        <rFont val="Noto Sans CJK SC"/>
        <family val="2"/>
      </rPr>
      <t xml:space="preserve">솔리드를 단면적 비율 </t>
    </r>
    <r>
      <rPr>
        <i val="true"/>
        <sz val="9"/>
        <rFont val="Arial"/>
        <family val="0"/>
        <charset val="1"/>
      </rPr>
      <t xml:space="preserve">n/N_c </t>
    </r>
    <r>
      <rPr>
        <i val="true"/>
        <sz val="9"/>
        <rFont val="Noto Sans CJK SC"/>
        <family val="2"/>
      </rPr>
      <t xml:space="preserve">로 둘로 분할 → </t>
    </r>
    <r>
      <rPr>
        <i val="true"/>
        <sz val="9"/>
        <rFont val="Arial"/>
        <family val="0"/>
        <charset val="1"/>
      </rPr>
      <t xml:space="preserve">Coil_1_healthy (N_c−n </t>
    </r>
    <r>
      <rPr>
        <i val="true"/>
        <sz val="9"/>
        <rFont val="Noto Sans CJK SC"/>
        <family val="2"/>
      </rPr>
      <t xml:space="preserve">턴</t>
    </r>
    <r>
      <rPr>
        <i val="true"/>
        <sz val="9"/>
        <rFont val="Arial"/>
        <family val="0"/>
        <charset val="1"/>
      </rPr>
      <t xml:space="preserve">, PhaseA </t>
    </r>
    <r>
      <rPr>
        <i val="true"/>
        <sz val="9"/>
        <rFont val="Noto Sans CJK SC"/>
        <family val="2"/>
      </rPr>
      <t xml:space="preserve">에 직렬</t>
    </r>
    <r>
      <rPr>
        <i val="true"/>
        <sz val="9"/>
        <rFont val="Arial"/>
        <family val="0"/>
        <charset val="1"/>
      </rPr>
      <t xml:space="preserve">) / Coil_1_short (n </t>
    </r>
    <r>
      <rPr>
        <i val="true"/>
        <sz val="9"/>
        <rFont val="Noto Sans CJK SC"/>
        <family val="2"/>
      </rPr>
      <t xml:space="preserve">턴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Noto Sans CJK SC"/>
        <family val="2"/>
      </rPr>
      <t xml:space="preserve">별도 </t>
    </r>
    <r>
      <rPr>
        <i val="true"/>
        <sz val="9"/>
        <rFont val="Arial"/>
        <family val="0"/>
        <charset val="1"/>
      </rPr>
      <t xml:space="preserve">Winding 'FaultLoop') → </t>
    </r>
    <r>
      <rPr>
        <i val="true"/>
        <sz val="9"/>
        <rFont val="Noto Sans CJK SC"/>
        <family val="2"/>
      </rPr>
      <t xml:space="preserve">외부 회로에서 </t>
    </r>
    <r>
      <rPr>
        <i val="true"/>
        <sz val="9"/>
        <rFont val="Arial"/>
        <family val="0"/>
        <charset val="1"/>
      </rPr>
      <t xml:space="preserve">FaultLoop </t>
    </r>
    <r>
      <rPr>
        <i val="true"/>
        <sz val="9"/>
        <rFont val="Noto Sans CJK SC"/>
        <family val="2"/>
      </rPr>
      <t xml:space="preserve">양단을 </t>
    </r>
    <r>
      <rPr>
        <i val="true"/>
        <sz val="9"/>
        <rFont val="Arial"/>
        <family val="0"/>
        <charset val="1"/>
      </rPr>
      <t xml:space="preserve">R_f </t>
    </r>
    <r>
      <rPr>
        <i val="true"/>
        <sz val="9"/>
        <rFont val="Noto Sans CJK SC"/>
        <family val="2"/>
      </rPr>
      <t xml:space="preserve">로 연결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분할 비율은 「</t>
    </r>
    <r>
      <rPr>
        <i val="true"/>
        <sz val="9"/>
        <rFont val="Arial"/>
        <family val="0"/>
        <charset val="1"/>
      </rPr>
      <t xml:space="preserve">ITSC </t>
    </r>
    <r>
      <rPr>
        <i val="true"/>
        <sz val="9"/>
        <rFont val="Noto Sans CJK SC"/>
        <family val="2"/>
      </rPr>
      <t xml:space="preserve">케이스」 시트의 상 턴수 비율 </t>
    </r>
    <r>
      <rPr>
        <i val="true"/>
        <sz val="9"/>
        <rFont val="Arial"/>
        <family val="0"/>
        <charset val="1"/>
      </rPr>
      <t xml:space="preserve">× N_ph / N_c.</t>
    </r>
  </si>
  <si>
    <r>
      <rPr>
        <i val="true"/>
        <sz val="9"/>
        <rFont val="Noto Sans CJK SC"/>
        <family val="2"/>
      </rPr>
      <t xml:space="preserve">코일 터미널 </t>
    </r>
    <r>
      <rPr>
        <i val="true"/>
        <sz val="9"/>
        <rFont val="Arial"/>
        <family val="0"/>
        <charset val="1"/>
      </rPr>
      <t xml:space="preserve">'Number of Conductors': healthy = N_c − n, short = n. </t>
    </r>
    <r>
      <rPr>
        <i val="true"/>
        <sz val="9"/>
        <rFont val="Noto Sans CJK SC"/>
        <family val="2"/>
      </rPr>
      <t xml:space="preserve">두 터미널 전류 방향은 원래 코일과 동일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</si>
  <si>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Arial"/>
        <family val="0"/>
        <charset val="1"/>
      </rPr>
      <t xml:space="preserve">1/4 </t>
    </r>
    <r>
      <rPr>
        <i val="true"/>
        <sz val="9"/>
        <rFont val="Noto Sans CJK SC"/>
        <family val="2"/>
      </rPr>
      <t xml:space="preserve">주기 모델</t>
    </r>
    <r>
      <rPr>
        <i val="true"/>
        <sz val="9"/>
        <rFont val="Arial"/>
        <family val="0"/>
        <charset val="1"/>
      </rPr>
      <t xml:space="preserve">(90° mech)</t>
    </r>
    <r>
      <rPr>
        <i val="true"/>
        <sz val="9"/>
        <rFont val="Noto Sans CJK SC"/>
        <family val="2"/>
      </rPr>
      <t xml:space="preserve">을 쓰면 슬롯 </t>
    </r>
    <r>
      <rPr>
        <i val="true"/>
        <sz val="9"/>
        <rFont val="Arial"/>
        <family val="0"/>
        <charset val="1"/>
      </rPr>
      <t xml:space="preserve">1~9 </t>
    </r>
    <r>
      <rPr>
        <i val="true"/>
        <sz val="9"/>
        <rFont val="Noto Sans CJK SC"/>
        <family val="2"/>
      </rPr>
      <t xml:space="preserve">만 모델에 포함되고 </t>
    </r>
    <r>
      <rPr>
        <i val="true"/>
        <sz val="9"/>
        <rFont val="Arial"/>
        <family val="0"/>
        <charset val="1"/>
      </rPr>
      <t xml:space="preserve">Coil_1 </t>
    </r>
    <r>
      <rPr>
        <i val="true"/>
        <sz val="9"/>
        <rFont val="Noto Sans CJK SC"/>
        <family val="2"/>
      </rPr>
      <t xml:space="preserve">은 그 안에 있음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단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Noto Sans CJK SC"/>
        <family val="2"/>
      </rPr>
      <t xml:space="preserve">결함은 주기 대칭을 깨므로 ★ </t>
    </r>
    <r>
      <rPr>
        <i val="true"/>
        <sz val="9"/>
        <rFont val="Arial"/>
        <family val="0"/>
        <charset val="1"/>
      </rPr>
      <t xml:space="preserve">ITSC </t>
    </r>
    <r>
      <rPr>
        <i val="true"/>
        <sz val="9"/>
        <rFont val="Noto Sans CJK SC"/>
        <family val="2"/>
      </rPr>
      <t xml:space="preserve">케이스는 전체 </t>
    </r>
    <r>
      <rPr>
        <i val="true"/>
        <sz val="9"/>
        <rFont val="Arial"/>
        <family val="0"/>
        <charset val="1"/>
      </rPr>
      <t xml:space="preserve">360° </t>
    </r>
    <r>
      <rPr>
        <i val="true"/>
        <sz val="9"/>
        <rFont val="Noto Sans CJK SC"/>
        <family val="2"/>
      </rPr>
      <t xml:space="preserve">모델 또는 </t>
    </r>
    <r>
      <rPr>
        <i val="true"/>
        <sz val="9"/>
        <rFont val="Arial"/>
        <family val="0"/>
        <charset val="1"/>
      </rPr>
      <t xml:space="preserve">1/2 </t>
    </r>
    <r>
      <rPr>
        <i val="true"/>
        <sz val="9"/>
        <rFont val="Noto Sans CJK SC"/>
        <family val="2"/>
      </rPr>
      <t xml:space="preserve">모델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결함 코일이 양쪽에 대칭 배치되는 가정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로 풀어야 함 — 정상 케이스만 </t>
    </r>
    <r>
      <rPr>
        <i val="true"/>
        <sz val="9"/>
        <rFont val="Arial"/>
        <family val="0"/>
        <charset val="1"/>
      </rPr>
      <t xml:space="preserve">1/4 </t>
    </r>
    <r>
      <rPr>
        <i val="true"/>
        <sz val="9"/>
        <rFont val="Noto Sans CJK SC"/>
        <family val="2"/>
      </rPr>
      <t xml:space="preserve">모델 허용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</si>
  <si>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Noto Sans CJK SC"/>
        <family val="2"/>
      </rPr>
      <t xml:space="preserve">병렬 회로 </t>
    </r>
    <r>
      <rPr>
        <i val="true"/>
        <sz val="9"/>
        <rFont val="Arial"/>
        <family val="0"/>
        <charset val="1"/>
      </rPr>
      <t xml:space="preserve">a = 1: </t>
    </r>
    <r>
      <rPr>
        <i val="true"/>
        <sz val="9"/>
        <rFont val="Noto Sans CJK SC"/>
        <family val="2"/>
      </rPr>
      <t xml:space="preserve">상당 </t>
    </r>
    <r>
      <rPr>
        <i val="true"/>
        <sz val="9"/>
        <rFont val="Arial"/>
        <family val="0"/>
        <charset val="1"/>
      </rPr>
      <t xml:space="preserve">12</t>
    </r>
    <r>
      <rPr>
        <i val="true"/>
        <sz val="9"/>
        <rFont val="Noto Sans CJK SC"/>
        <family val="2"/>
      </rPr>
      <t xml:space="preserve">코일 전부 직렬</t>
    </r>
    <r>
      <rPr>
        <i val="true"/>
        <sz val="9"/>
        <rFont val="Arial"/>
        <family val="0"/>
        <charset val="1"/>
      </rPr>
      <t xml:space="preserve">. a </t>
    </r>
    <r>
      <rPr>
        <i val="true"/>
        <sz val="9"/>
        <rFont val="Noto Sans CJK SC"/>
        <family val="2"/>
      </rPr>
      <t xml:space="preserve">가 </t>
    </r>
    <r>
      <rPr>
        <i val="true"/>
        <sz val="9"/>
        <rFont val="Arial"/>
        <family val="0"/>
        <charset val="1"/>
      </rPr>
      <t xml:space="preserve">2 </t>
    </r>
    <r>
      <rPr>
        <i val="true"/>
        <sz val="9"/>
        <rFont val="Noto Sans CJK SC"/>
        <family val="2"/>
      </rPr>
      <t xml:space="preserve">로 확인되면 </t>
    </r>
    <r>
      <rPr>
        <i val="true"/>
        <sz val="9"/>
        <rFont val="Arial"/>
        <family val="0"/>
        <charset val="1"/>
      </rPr>
      <t xml:space="preserve">Winding </t>
    </r>
    <r>
      <rPr>
        <i val="true"/>
        <sz val="9"/>
        <rFont val="Noto Sans CJK SC"/>
        <family val="2"/>
      </rPr>
      <t xml:space="preserve">을 </t>
    </r>
    <r>
      <rPr>
        <i val="true"/>
        <sz val="9"/>
        <rFont val="Arial"/>
        <family val="0"/>
        <charset val="1"/>
      </rPr>
      <t xml:space="preserve">2 </t>
    </r>
    <r>
      <rPr>
        <i val="true"/>
        <sz val="9"/>
        <rFont val="Noto Sans CJK SC"/>
        <family val="2"/>
      </rPr>
      <t xml:space="preserve">가지로 분리해 재정의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</si>
  <si>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3"/>
        <rFont val="Arial"/>
        <family val="0"/>
        <charset val="1"/>
      </rPr>
      <t xml:space="preserve">Maxwell 3D Transient </t>
    </r>
    <r>
      <rPr>
        <b val="true"/>
        <sz val="13"/>
        <rFont val="Noto Sans CJK SC"/>
        <family val="2"/>
      </rPr>
      <t xml:space="preserve">해석 설정 — 케이스별 속도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슬립</t>
    </r>
    <r>
      <rPr>
        <b val="true"/>
        <sz val="13"/>
        <rFont val="Arial"/>
        <family val="0"/>
        <charset val="1"/>
      </rPr>
      <t xml:space="preserve">) </t>
    </r>
    <r>
      <rPr>
        <b val="true"/>
        <sz val="13"/>
        <rFont val="Noto Sans CJK SC"/>
        <family val="2"/>
      </rPr>
      <t xml:space="preserve">표는 </t>
    </r>
    <r>
      <rPr>
        <b val="true"/>
        <sz val="13"/>
        <rFont val="Arial"/>
        <family val="0"/>
        <charset val="1"/>
      </rPr>
      <t xml:space="preserve">Kloss </t>
    </r>
    <r>
      <rPr>
        <b val="true"/>
        <sz val="13"/>
        <rFont val="Noto Sans CJK SC"/>
        <family val="2"/>
      </rPr>
      <t xml:space="preserve">식으로 라이브 계산</t>
    </r>
  </si>
  <si>
    <r>
      <rPr>
        <b val="true"/>
        <sz val="10"/>
        <color rgb="FFFFFFFF"/>
        <rFont val="Noto Sans CJK SC"/>
        <family val="2"/>
      </rPr>
      <t xml:space="preserve">부하 </t>
    </r>
    <r>
      <rPr>
        <b val="true"/>
        <sz val="10"/>
        <color rgb="FFFFFFFF"/>
        <rFont val="Arial"/>
        <family val="0"/>
        <charset val="1"/>
      </rPr>
      <t xml:space="preserve">(T/T_n)</t>
    </r>
  </si>
  <si>
    <t xml:space="preserve">Kloss k = 2·T_max/T</t>
  </si>
  <si>
    <t xml:space="preserve">s/s_max</t>
  </si>
  <si>
    <r>
      <rPr>
        <b val="true"/>
        <sz val="10"/>
        <color rgb="FFFFFFFF"/>
        <rFont val="Noto Sans CJK SC"/>
        <family val="2"/>
      </rPr>
      <t xml:space="preserve">슬립 </t>
    </r>
    <r>
      <rPr>
        <b val="true"/>
        <sz val="10"/>
        <color rgb="FFFFFFFF"/>
        <rFont val="Arial"/>
        <family val="0"/>
        <charset val="1"/>
      </rPr>
      <t xml:space="preserve">s</t>
    </r>
  </si>
  <si>
    <r>
      <rPr>
        <b val="true"/>
        <sz val="10"/>
        <color rgb="FFFFFFFF"/>
        <rFont val="Noto Sans CJK SC"/>
        <family val="2"/>
      </rPr>
      <t xml:space="preserve">회전수 </t>
    </r>
    <r>
      <rPr>
        <b val="true"/>
        <sz val="10"/>
        <color rgb="FFFFFFFF"/>
        <rFont val="Arial"/>
        <family val="0"/>
        <charset val="1"/>
      </rPr>
      <t xml:space="preserve">n (Motion </t>
    </r>
    <r>
      <rPr>
        <b val="true"/>
        <sz val="10"/>
        <color rgb="FFFFFFFF"/>
        <rFont val="Noto Sans CJK SC"/>
        <family val="2"/>
      </rPr>
      <t xml:space="preserve">고정 속도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</si>
  <si>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정격점 검산</t>
    </r>
    <r>
      <rPr>
        <sz val="10"/>
        <rFont val="Arial"/>
        <family val="0"/>
        <charset val="1"/>
      </rPr>
      <t xml:space="preserve">: s = 2.22 %</t>
    </r>
  </si>
  <si>
    <r>
      <rPr>
        <sz val="10"/>
        <rFont val="Arial"/>
        <family val="0"/>
        <charset val="1"/>
      </rPr>
      <t xml:space="preserve">SF 1.15 </t>
    </r>
    <r>
      <rPr>
        <sz val="10"/>
        <rFont val="Noto Sans CJK SC"/>
        <family val="2"/>
      </rPr>
      <t xml:space="preserve">과부하</t>
    </r>
  </si>
  <si>
    <t xml:space="preserve">설정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</si>
  <si>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비고</t>
    </r>
  </si>
  <si>
    <t xml:space="preserve">모델</t>
  </si>
  <si>
    <t xml:space="preserve">주기 모델</t>
  </si>
  <si>
    <r>
      <rPr>
        <sz val="10"/>
        <rFont val="Noto Sans CJK SC"/>
        <family val="2"/>
      </rPr>
      <t xml:space="preserve">정상 케이스</t>
    </r>
    <r>
      <rPr>
        <sz val="10"/>
        <rFont val="Arial"/>
        <family val="0"/>
        <charset val="1"/>
      </rPr>
      <t xml:space="preserve">: 1/4 (Master/Slave 90°), Symmetry Multiplier 4 / ITSC </t>
    </r>
    <r>
      <rPr>
        <sz val="10"/>
        <rFont val="Noto Sans CJK SC"/>
        <family val="2"/>
      </rPr>
      <t xml:space="preserve">케이스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360°</t>
    </r>
  </si>
  <si>
    <t xml:space="preserve">결함은 주기 대칭을 깸</t>
  </si>
  <si>
    <t xml:space="preserve">스큐</t>
  </si>
  <si>
    <r>
      <rPr>
        <sz val="10"/>
        <rFont val="Arial"/>
        <family val="0"/>
        <charset val="1"/>
      </rPr>
      <t xml:space="preserve">RMxprt 3D export </t>
    </r>
    <r>
      <rPr>
        <sz val="10"/>
        <rFont val="Noto Sans CJK SC"/>
        <family val="2"/>
      </rPr>
      <t xml:space="preserve">시 로터 바 트위스트 자동 생성 </t>
    </r>
    <r>
      <rPr>
        <sz val="10"/>
        <rFont val="Arial"/>
        <family val="0"/>
        <charset val="1"/>
      </rPr>
      <t xml:space="preserve">(1 </t>
    </r>
    <r>
      <rPr>
        <sz val="10"/>
        <rFont val="Noto Sans CJK SC"/>
        <family val="2"/>
      </rPr>
      <t xml:space="preserve">슬롯피치</t>
    </r>
    <r>
      <rPr>
        <sz val="10"/>
        <rFont val="Arial"/>
        <family val="0"/>
        <charset val="1"/>
      </rPr>
      <t xml:space="preserve">, 3.6°)</t>
    </r>
  </si>
  <si>
    <r>
      <rPr>
        <sz val="10"/>
        <rFont val="Noto Sans CJK SC"/>
        <family val="2"/>
      </rPr>
      <t xml:space="preserve">「설계값」 </t>
    </r>
    <r>
      <rPr>
        <sz val="10"/>
        <rFont val="Arial"/>
        <family val="0"/>
        <charset val="1"/>
      </rPr>
      <t xml:space="preserve">§8</t>
    </r>
  </si>
  <si>
    <t xml:space="preserve">엔드권선</t>
  </si>
  <si>
    <r>
      <rPr>
        <sz val="10"/>
        <rFont val="Arial"/>
        <family val="0"/>
        <charset val="1"/>
      </rPr>
      <t xml:space="preserve">RMxprt </t>
    </r>
    <r>
      <rPr>
        <sz val="10"/>
        <rFont val="Noto Sans CJK SC"/>
        <family val="2"/>
      </rPr>
      <t xml:space="preserve">자동 생성 </t>
    </r>
    <r>
      <rPr>
        <sz val="10"/>
        <rFont val="Arial"/>
        <family val="0"/>
        <charset val="1"/>
      </rPr>
      <t xml:space="preserve">(End Length ≈ 122 mm </t>
    </r>
    <r>
      <rPr>
        <sz val="10"/>
        <rFont val="Noto Sans CJK SC"/>
        <family val="2"/>
      </rPr>
      <t xml:space="preserve">편측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</si>
  <si>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3D </t>
    </r>
    <r>
      <rPr>
        <sz val="10"/>
        <rFont val="Noto Sans CJK SC"/>
        <family val="2"/>
      </rPr>
      <t xml:space="preserve">누설 반영</t>
    </r>
  </si>
  <si>
    <t xml:space="preserve">재질</t>
  </si>
  <si>
    <r>
      <rPr>
        <sz val="10"/>
        <rFont val="Noto Sans CJK SC"/>
        <family val="2"/>
      </rPr>
      <t xml:space="preserve">고정자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로터 코어</t>
    </r>
  </si>
  <si>
    <r>
      <rPr>
        <sz val="10"/>
        <rFont val="Arial"/>
        <family val="0"/>
        <charset val="1"/>
      </rPr>
      <t xml:space="preserve">M400-50A: B-H </t>
    </r>
    <r>
      <rPr>
        <sz val="10"/>
        <rFont val="Noto Sans CJK SC"/>
        <family val="2"/>
      </rPr>
      <t xml:space="preserve">곡선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코어손 계수</t>
    </r>
    <r>
      <rPr>
        <sz val="10"/>
        <rFont val="Arial"/>
        <family val="0"/>
        <charset val="1"/>
      </rPr>
      <t xml:space="preserve">(K_h, K_c, K_e) — </t>
    </r>
    <r>
      <rPr>
        <sz val="10"/>
        <rFont val="Noto Sans CJK SC"/>
        <family val="2"/>
      </rPr>
      <t xml:space="preserve">라이브러리에 없으면 강판사</t>
    </r>
    <r>
      <rPr>
        <sz val="10"/>
        <rFont val="Arial"/>
        <family val="0"/>
        <charset val="1"/>
      </rPr>
      <t xml:space="preserve">(50PN400) </t>
    </r>
    <r>
      <rPr>
        <sz val="10"/>
        <rFont val="Noto Sans CJK SC"/>
        <family val="2"/>
      </rPr>
      <t xml:space="preserve">데이터시트 곡선을 입력</t>
    </r>
  </si>
  <si>
    <t xml:space="preserve">★ 시트에 곡선 데이터 없음 — 확보 필요</t>
  </si>
  <si>
    <r>
      <rPr>
        <sz val="10"/>
        <rFont val="Noto Sans CJK SC"/>
        <family val="2"/>
      </rPr>
      <t xml:space="preserve">로터 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엔드링</t>
    </r>
  </si>
  <si>
    <r>
      <rPr>
        <sz val="10"/>
        <rFont val="Arial"/>
        <family val="0"/>
        <charset val="1"/>
      </rPr>
      <t xml:space="preserve">cast_aluminum: σ = 3.53e7 S/m @20 °C (ρ 0.0283 μΩ·m), </t>
    </r>
    <r>
      <rPr>
        <sz val="10"/>
        <rFont val="Noto Sans CJK SC"/>
        <family val="2"/>
      </rPr>
      <t xml:space="preserve">온도 </t>
    </r>
    <r>
      <rPr>
        <sz val="10"/>
        <rFont val="Arial"/>
        <family val="0"/>
        <charset val="1"/>
      </rPr>
      <t xml:space="preserve">95 °C </t>
    </r>
    <r>
      <rPr>
        <sz val="10"/>
        <rFont val="Noto Sans CJK SC"/>
        <family val="2"/>
      </rPr>
      <t xml:space="preserve">케이스는 </t>
    </r>
    <r>
      <rPr>
        <sz val="10"/>
        <rFont val="Arial"/>
        <family val="0"/>
        <charset val="1"/>
      </rPr>
      <t xml:space="preserve">σ = 2.72e7</t>
    </r>
  </si>
  <si>
    <r>
      <rPr>
        <sz val="10"/>
        <rFont val="Noto Sans CJK SC"/>
        <family val="2"/>
      </rPr>
      <t xml:space="preserve">「설계값」 </t>
    </r>
    <r>
      <rPr>
        <sz val="10"/>
        <rFont val="Arial"/>
        <family val="0"/>
        <charset val="1"/>
      </rPr>
      <t xml:space="preserve">§6</t>
    </r>
  </si>
  <si>
    <t xml:space="preserve">고정자 권선</t>
  </si>
  <si>
    <r>
      <rPr>
        <sz val="10"/>
        <rFont val="Arial"/>
        <family val="0"/>
        <charset val="1"/>
      </rPr>
      <t xml:space="preserve">copper, stranded (</t>
    </r>
    <r>
      <rPr>
        <sz val="10"/>
        <rFont val="Noto Sans CJK SC"/>
        <family val="2"/>
      </rPr>
      <t xml:space="preserve">와전류 무시</t>
    </r>
    <r>
      <rPr>
        <sz val="10"/>
        <rFont val="Arial"/>
        <family val="0"/>
        <charset val="1"/>
      </rPr>
      <t xml:space="preserve">), 95 °C </t>
    </r>
    <r>
      <rPr>
        <sz val="10"/>
        <rFont val="Noto Sans CJK SC"/>
        <family val="2"/>
      </rPr>
      <t xml:space="preserve">저항률 반영은 외부 회로 </t>
    </r>
    <r>
      <rPr>
        <sz val="10"/>
        <rFont val="Arial"/>
        <family val="0"/>
        <charset val="1"/>
      </rPr>
      <t xml:space="preserve">R_1 </t>
    </r>
    <r>
      <rPr>
        <sz val="10"/>
        <rFont val="Noto Sans CJK SC"/>
        <family val="2"/>
      </rPr>
      <t xml:space="preserve">로</t>
    </r>
  </si>
  <si>
    <t xml:space="preserve">축</t>
  </si>
  <si>
    <r>
      <rPr>
        <sz val="10"/>
        <rFont val="Arial"/>
        <family val="0"/>
        <charset val="1"/>
      </rPr>
      <t xml:space="preserve">steel_1008 (</t>
    </r>
    <r>
      <rPr>
        <sz val="10"/>
        <rFont val="Noto Sans CJK SC"/>
        <family val="2"/>
      </rPr>
      <t xml:space="preserve">자성</t>
    </r>
    <r>
      <rPr>
        <sz val="10"/>
        <rFont val="Arial"/>
        <family val="0"/>
        <charset val="1"/>
      </rPr>
      <t xml:space="preserve">)</t>
    </r>
  </si>
  <si>
    <t xml:space="preserve">여자</t>
  </si>
  <si>
    <t xml:space="preserve">전원</t>
  </si>
  <si>
    <r>
      <rPr>
        <sz val="10"/>
        <rFont val="Noto Sans CJK SC"/>
        <family val="2"/>
      </rPr>
      <t xml:space="preserve">외부 회로</t>
    </r>
    <r>
      <rPr>
        <sz val="10"/>
        <rFont val="Arial"/>
        <family val="0"/>
        <charset val="1"/>
      </rPr>
      <t xml:space="preserve">: 3</t>
    </r>
    <r>
      <rPr>
        <sz val="10"/>
        <rFont val="Noto Sans CJK SC"/>
        <family val="2"/>
      </rPr>
      <t xml:space="preserve">상 </t>
    </r>
    <r>
      <rPr>
        <sz val="10"/>
        <rFont val="Arial"/>
        <family val="0"/>
        <charset val="1"/>
      </rPr>
      <t xml:space="preserve">Y </t>
    </r>
    <r>
      <rPr>
        <sz val="10"/>
        <rFont val="Noto Sans CJK SC"/>
        <family val="2"/>
      </rPr>
      <t xml:space="preserve">전압원 </t>
    </r>
    <r>
      <rPr>
        <sz val="10"/>
        <rFont val="Arial"/>
        <family val="0"/>
        <charset val="1"/>
      </rPr>
      <t xml:space="preserve">V_ph = 219.4 V (peak 310.3 V), 60 Hz, </t>
    </r>
    <r>
      <rPr>
        <sz val="10"/>
        <rFont val="Noto Sans CJK SC"/>
        <family val="2"/>
      </rPr>
      <t xml:space="preserve">상순 </t>
    </r>
    <r>
      <rPr>
        <sz val="10"/>
        <rFont val="Arial"/>
        <family val="0"/>
        <charset val="1"/>
      </rPr>
      <t xml:space="preserve">A-B-C</t>
    </r>
  </si>
  <si>
    <r>
      <rPr>
        <sz val="10"/>
        <rFont val="Arial"/>
        <family val="0"/>
        <charset val="1"/>
      </rPr>
      <t xml:space="preserve">380 V </t>
    </r>
    <r>
      <rPr>
        <sz val="10"/>
        <rFont val="Noto Sans CJK SC"/>
        <family val="2"/>
      </rPr>
      <t xml:space="preserve">전용형 </t>
    </r>
    <r>
      <rPr>
        <sz val="10"/>
        <rFont val="Arial"/>
        <family val="0"/>
        <charset val="1"/>
      </rPr>
      <t xml:space="preserve">Δ </t>
    </r>
    <r>
      <rPr>
        <sz val="10"/>
        <rFont val="Noto Sans CJK SC"/>
        <family val="2"/>
      </rPr>
      <t xml:space="preserve">확인 시 변경</t>
    </r>
  </si>
  <si>
    <t xml:space="preserve">결함 가지</t>
  </si>
  <si>
    <r>
      <rPr>
        <sz val="10"/>
        <rFont val="Arial"/>
        <family val="0"/>
        <charset val="1"/>
      </rPr>
      <t xml:space="preserve">Winding 'FaultLoop' </t>
    </r>
    <r>
      <rPr>
        <sz val="10"/>
        <rFont val="Noto Sans CJK SC"/>
        <family val="2"/>
      </rPr>
      <t xml:space="preserve">양단에 </t>
    </r>
    <r>
      <rPr>
        <sz val="10"/>
        <rFont val="Arial"/>
        <family val="0"/>
        <charset val="1"/>
      </rPr>
      <t xml:space="preserve">R_f (0.1 / 1.0 Ω) + </t>
    </r>
    <r>
      <rPr>
        <sz val="10"/>
        <rFont val="Noto Sans CJK SC"/>
        <family val="2"/>
      </rPr>
      <t xml:space="preserve">작은 </t>
    </r>
    <r>
      <rPr>
        <sz val="10"/>
        <rFont val="Arial"/>
        <family val="0"/>
        <charset val="1"/>
      </rPr>
      <t xml:space="preserve">L (1 μH, </t>
    </r>
    <r>
      <rPr>
        <sz val="10"/>
        <rFont val="Noto Sans CJK SC"/>
        <family val="2"/>
      </rPr>
      <t xml:space="preserve">수치 안정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</si>
  <si>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ITSC </t>
    </r>
    <r>
      <rPr>
        <sz val="10"/>
        <rFont val="Noto Sans CJK SC"/>
        <family val="2"/>
      </rPr>
      <t xml:space="preserve">케이스」</t>
    </r>
  </si>
  <si>
    <t xml:space="preserve">코일 저항</t>
  </si>
  <si>
    <r>
      <rPr>
        <sz val="10"/>
        <rFont val="Arial"/>
        <family val="0"/>
        <charset val="1"/>
      </rPr>
      <t xml:space="preserve">Winding Resistance = R_1 </t>
    </r>
    <r>
      <rPr>
        <sz val="10"/>
        <rFont val="Noto Sans CJK SC"/>
        <family val="2"/>
      </rPr>
      <t xml:space="preserve">상당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코일별 </t>
    </r>
    <r>
      <rPr>
        <sz val="10"/>
        <rFont val="Arial"/>
        <family val="0"/>
        <charset val="1"/>
      </rPr>
      <t xml:space="preserve">R_1/12)</t>
    </r>
  </si>
  <si>
    <r>
      <rPr>
        <sz val="10"/>
        <rFont val="Noto Sans CJK SC"/>
        <family val="2"/>
      </rPr>
      <t xml:space="preserve">「설계값」 </t>
    </r>
    <r>
      <rPr>
        <sz val="10"/>
        <rFont val="Arial"/>
        <family val="0"/>
        <charset val="1"/>
      </rPr>
      <t xml:space="preserve">R1</t>
    </r>
  </si>
  <si>
    <t xml:space="preserve">Motion</t>
  </si>
  <si>
    <t xml:space="preserve">방식</t>
  </si>
  <si>
    <r>
      <rPr>
        <sz val="10"/>
        <rFont val="Arial"/>
        <family val="0"/>
        <charset val="1"/>
      </rPr>
      <t xml:space="preserve">Band </t>
    </r>
    <r>
      <rPr>
        <sz val="10"/>
        <rFont val="Noto Sans CJK SC"/>
        <family val="2"/>
      </rPr>
      <t xml:space="preserve">객체</t>
    </r>
    <r>
      <rPr>
        <sz val="10"/>
        <rFont val="Arial"/>
        <family val="0"/>
        <charset val="1"/>
      </rPr>
      <t xml:space="preserve">, Rotation, Constant speed = </t>
    </r>
    <r>
      <rPr>
        <sz val="10"/>
        <rFont val="Noto Sans CJK SC"/>
        <family val="2"/>
      </rPr>
      <t xml:space="preserve">위 표의 </t>
    </r>
    <r>
      <rPr>
        <sz val="10"/>
        <rFont val="Arial"/>
        <family val="0"/>
        <charset val="1"/>
      </rPr>
      <t xml:space="preserve">rpm (</t>
    </r>
    <r>
      <rPr>
        <sz val="10"/>
        <rFont val="Noto Sans CJK SC"/>
        <family val="2"/>
      </rPr>
      <t xml:space="preserve">기계 동역학 미계산</t>
    </r>
    <r>
      <rPr>
        <sz val="10"/>
        <rFont val="Arial"/>
        <family val="0"/>
        <charset val="1"/>
      </rPr>
      <t xml:space="preserve">)</t>
    </r>
  </si>
  <si>
    <t xml:space="preserve">정상상태 빨리 도달</t>
  </si>
  <si>
    <t xml:space="preserve">초기 위치</t>
  </si>
  <si>
    <r>
      <rPr>
        <sz val="10"/>
        <rFont val="Arial"/>
        <family val="0"/>
        <charset val="1"/>
      </rPr>
      <t xml:space="preserve">0°, </t>
    </r>
    <r>
      <rPr>
        <sz val="10"/>
        <rFont val="Noto Sans CJK SC"/>
        <family val="2"/>
      </rPr>
      <t xml:space="preserve">전기 위상은 전압원 위상으로 정렬</t>
    </r>
  </si>
  <si>
    <t xml:space="preserve">메시</t>
  </si>
  <si>
    <t xml:space="preserve">공극</t>
  </si>
  <si>
    <r>
      <rPr>
        <sz val="10"/>
        <rFont val="Arial"/>
        <family val="0"/>
        <charset val="1"/>
      </rPr>
      <t xml:space="preserve">Band </t>
    </r>
    <r>
      <rPr>
        <sz val="10"/>
        <rFont val="Noto Sans CJK SC"/>
        <family val="2"/>
      </rPr>
      <t xml:space="preserve">포함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(stator-side gap / band / rotor-side gap), </t>
    </r>
    <r>
      <rPr>
        <sz val="10"/>
        <rFont val="Noto Sans CJK SC"/>
        <family val="2"/>
      </rPr>
      <t xml:space="preserve">요소 길이 </t>
    </r>
    <r>
      <rPr>
        <sz val="10"/>
        <rFont val="Arial"/>
        <family val="0"/>
        <charset val="1"/>
      </rPr>
      <t xml:space="preserve">0.3 mm </t>
    </r>
    <r>
      <rPr>
        <sz val="10"/>
        <rFont val="Noto Sans CJK SC"/>
        <family val="2"/>
      </rPr>
      <t xml:space="preserve">이하</t>
    </r>
  </si>
  <si>
    <t xml:space="preserve">토크 정확도</t>
  </si>
  <si>
    <r>
      <rPr>
        <sz val="10"/>
        <rFont val="Noto Sans CJK SC"/>
        <family val="2"/>
      </rPr>
      <t xml:space="preserve">코어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바</t>
    </r>
  </si>
  <si>
    <r>
      <rPr>
        <sz val="10"/>
        <rFont val="Noto Sans CJK SC"/>
        <family val="2"/>
      </rPr>
      <t xml:space="preserve">코어 </t>
    </r>
    <r>
      <rPr>
        <sz val="10"/>
        <rFont val="Arial"/>
        <family val="0"/>
        <charset val="1"/>
      </rPr>
      <t xml:space="preserve">4 mm, </t>
    </r>
    <r>
      <rPr>
        <sz val="10"/>
        <rFont val="Noto Sans CJK SC"/>
        <family val="2"/>
      </rPr>
      <t xml:space="preserve">바 </t>
    </r>
    <r>
      <rPr>
        <sz val="10"/>
        <rFont val="Arial"/>
        <family val="0"/>
        <charset val="1"/>
      </rPr>
      <t xml:space="preserve">1.5 mm (</t>
    </r>
    <r>
      <rPr>
        <sz val="10"/>
        <rFont val="Noto Sans CJK SC"/>
        <family val="2"/>
      </rPr>
      <t xml:space="preserve">표피효과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3 mm, 1/4 </t>
    </r>
    <r>
      <rPr>
        <sz val="10"/>
        <rFont val="Noto Sans CJK SC"/>
        <family val="2"/>
      </rPr>
      <t xml:space="preserve">모델 약 </t>
    </r>
    <r>
      <rPr>
        <sz val="10"/>
        <rFont val="Arial"/>
        <family val="0"/>
        <charset val="1"/>
      </rPr>
      <t xml:space="preserve">30~40</t>
    </r>
    <r>
      <rPr>
        <sz val="10"/>
        <rFont val="Noto Sans CJK SC"/>
        <family val="2"/>
      </rPr>
      <t xml:space="preserve">만 요소</t>
    </r>
  </si>
  <si>
    <t xml:space="preserve">추정</t>
  </si>
  <si>
    <t xml:space="preserve">시간</t>
  </si>
  <si>
    <t xml:space="preserve">시간 간격</t>
  </si>
  <si>
    <r>
      <rPr>
        <sz val="10"/>
        <rFont val="Arial"/>
        <family val="0"/>
        <charset val="1"/>
      </rPr>
      <t xml:space="preserve">50 μs (</t>
    </r>
    <r>
      <rPr>
        <sz val="10"/>
        <rFont val="Noto Sans CJK SC"/>
        <family val="2"/>
      </rPr>
      <t xml:space="preserve">슬롯 고조파 </t>
    </r>
    <r>
      <rPr>
        <sz val="10"/>
        <rFont val="Arial"/>
        <family val="0"/>
        <charset val="1"/>
      </rPr>
      <t xml:space="preserve">881 Hz 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1/22, </t>
    </r>
    <r>
      <rPr>
        <sz val="10"/>
        <rFont val="Noto Sans CJK SC"/>
        <family val="2"/>
      </rPr>
      <t xml:space="preserve">전기 주기당 </t>
    </r>
    <r>
      <rPr>
        <sz val="10"/>
        <rFont val="Arial"/>
        <family val="0"/>
        <charset val="1"/>
      </rPr>
      <t xml:space="preserve">333 </t>
    </r>
    <r>
      <rPr>
        <sz val="10"/>
        <rFont val="Noto Sans CJK SC"/>
        <family val="2"/>
      </rPr>
      <t xml:space="preserve">스텝</t>
    </r>
    <r>
      <rPr>
        <sz val="10"/>
        <rFont val="Arial"/>
        <family val="0"/>
        <charset val="1"/>
      </rPr>
      <t xml:space="preserve">)</t>
    </r>
  </si>
  <si>
    <t xml:space="preserve">종료 시간</t>
  </si>
  <si>
    <r>
      <rPr>
        <sz val="10"/>
        <rFont val="Arial"/>
        <family val="0"/>
        <charset val="1"/>
      </rPr>
      <t xml:space="preserve">0.10 s (</t>
    </r>
    <r>
      <rPr>
        <sz val="10"/>
        <rFont val="Noto Sans CJK SC"/>
        <family val="2"/>
      </rPr>
      <t xml:space="preserve">과도 </t>
    </r>
    <r>
      <rPr>
        <sz val="10"/>
        <rFont val="Arial"/>
        <family val="0"/>
        <charset val="1"/>
      </rPr>
      <t xml:space="preserve">50 ms + </t>
    </r>
    <r>
      <rPr>
        <sz val="10"/>
        <rFont val="Noto Sans CJK SC"/>
        <family val="2"/>
      </rPr>
      <t xml:space="preserve">저장 창 </t>
    </r>
    <r>
      <rPr>
        <sz val="10"/>
        <rFont val="Arial"/>
        <family val="0"/>
        <charset val="1"/>
      </rPr>
      <t xml:space="preserve">50 ms = 3 </t>
    </r>
    <r>
      <rPr>
        <sz val="10"/>
        <rFont val="Noto Sans CJK SC"/>
        <family val="2"/>
      </rPr>
      <t xml:space="preserve">전기 주기</t>
    </r>
    <r>
      <rPr>
        <sz val="10"/>
        <rFont val="Arial"/>
        <family val="0"/>
        <charset val="1"/>
      </rPr>
      <t xml:space="preserve">)</t>
    </r>
  </si>
  <si>
    <t xml:space="preserve">속도 고정이므로 충분</t>
  </si>
  <si>
    <t xml:space="preserve">필드 저장</t>
  </si>
  <si>
    <r>
      <rPr>
        <sz val="10"/>
        <rFont val="Noto Sans CJK SC"/>
        <family val="2"/>
      </rPr>
      <t xml:space="preserve">마지막 주기 </t>
    </r>
    <r>
      <rPr>
        <sz val="10"/>
        <rFont val="Arial"/>
        <family val="0"/>
        <charset val="1"/>
      </rPr>
      <t xml:space="preserve">1 ms </t>
    </r>
    <r>
      <rPr>
        <sz val="10"/>
        <rFont val="Noto Sans CJK SC"/>
        <family val="2"/>
      </rPr>
      <t xml:space="preserve">간격 </t>
    </r>
    <r>
      <rPr>
        <sz val="10"/>
        <rFont val="Arial"/>
        <family val="0"/>
        <charset val="1"/>
      </rPr>
      <t xml:space="preserve">(17 </t>
    </r>
    <r>
      <rPr>
        <sz val="10"/>
        <rFont val="Noto Sans CJK SC"/>
        <family val="2"/>
      </rPr>
      <t xml:space="preserve">시점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시각화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손실 적분용</t>
    </r>
  </si>
  <si>
    <t xml:space="preserve">솔버</t>
  </si>
  <si>
    <r>
      <rPr>
        <sz val="10"/>
        <rFont val="Noto Sans CJK SC"/>
        <family val="2"/>
      </rPr>
      <t xml:space="preserve">비선형 잔차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반복</t>
    </r>
  </si>
  <si>
    <r>
      <rPr>
        <sz val="10"/>
        <rFont val="Arial"/>
        <family val="0"/>
        <charset val="1"/>
      </rPr>
      <t xml:space="preserve">0.005 / 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10</t>
    </r>
  </si>
  <si>
    <t xml:space="preserve">손실</t>
  </si>
  <si>
    <r>
      <rPr>
        <sz val="10"/>
        <rFont val="Arial"/>
        <family val="0"/>
        <charset val="1"/>
      </rPr>
      <t xml:space="preserve">Core loss ON (</t>
    </r>
    <r>
      <rPr>
        <sz val="10"/>
        <rFont val="Noto Sans CJK SC"/>
        <family val="2"/>
      </rPr>
      <t xml:space="preserve">코어</t>
    </r>
    <r>
      <rPr>
        <sz val="10"/>
        <rFont val="Arial"/>
        <family val="0"/>
        <charset val="1"/>
      </rPr>
      <t xml:space="preserve">), Solid loss ON (</t>
    </r>
    <r>
      <rPr>
        <sz val="10"/>
        <rFont val="Noto Sans CJK SC"/>
        <family val="2"/>
      </rPr>
      <t xml:space="preserve">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링</t>
    </r>
    <r>
      <rPr>
        <sz val="10"/>
        <rFont val="Arial"/>
        <family val="0"/>
        <charset val="1"/>
      </rPr>
      <t xml:space="preserve">), Stranded loss ON (</t>
    </r>
    <r>
      <rPr>
        <sz val="10"/>
        <rFont val="Noto Sans CJK SC"/>
        <family val="2"/>
      </rPr>
      <t xml:space="preserve">코일</t>
    </r>
    <r>
      <rPr>
        <sz val="10"/>
        <rFont val="Arial"/>
        <family val="0"/>
        <charset val="1"/>
      </rPr>
      <t xml:space="preserve">)</t>
    </r>
  </si>
  <si>
    <t xml:space="preserve">예상 비용</t>
  </si>
  <si>
    <r>
      <rPr>
        <sz val="10"/>
        <rFont val="Arial"/>
        <family val="0"/>
        <charset val="1"/>
      </rPr>
      <t xml:space="preserve">3D 1/4 </t>
    </r>
    <r>
      <rPr>
        <sz val="10"/>
        <rFont val="Noto Sans CJK SC"/>
        <family val="2"/>
      </rPr>
      <t xml:space="preserve">정상 케이스</t>
    </r>
  </si>
  <si>
    <r>
      <rPr>
        <sz val="10"/>
        <rFont val="Arial"/>
        <family val="0"/>
        <charset val="1"/>
      </rPr>
      <t xml:space="preserve">2,000 </t>
    </r>
    <r>
      <rPr>
        <sz val="10"/>
        <rFont val="Noto Sans CJK SC"/>
        <family val="2"/>
      </rPr>
      <t xml:space="preserve">스텝 </t>
    </r>
    <r>
      <rPr>
        <sz val="10"/>
        <rFont val="Arial"/>
        <family val="0"/>
        <charset val="1"/>
      </rPr>
      <t xml:space="preserve">× 15~40 s ≈ 8~22 h (9900X 16</t>
    </r>
    <r>
      <rPr>
        <sz val="10"/>
        <rFont val="Noto Sans CJK SC"/>
        <family val="2"/>
      </rPr>
      <t xml:space="preserve">코어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</si>
  <si>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3D 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ITSC </t>
    </r>
    <r>
      <rPr>
        <sz val="10"/>
        <rFont val="Noto Sans CJK SC"/>
        <family val="2"/>
      </rPr>
      <t xml:space="preserve">케이스</t>
    </r>
  </si>
  <si>
    <r>
      <rPr>
        <sz val="10"/>
        <rFont val="Arial"/>
        <family val="0"/>
        <charset val="1"/>
      </rPr>
      <t xml:space="preserve">× 3~4 → 1.5~3 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케이스 → </t>
    </r>
    <r>
      <rPr>
        <sz val="10"/>
        <rFont val="Arial"/>
        <family val="0"/>
        <charset val="1"/>
      </rPr>
      <t xml:space="preserve">3D </t>
    </r>
    <r>
      <rPr>
        <sz val="10"/>
        <rFont val="Noto Sans CJK SC"/>
        <family val="2"/>
      </rPr>
      <t xml:space="preserve">는 정상 </t>
    </r>
    <r>
      <rPr>
        <sz val="10"/>
        <rFont val="Arial"/>
        <family val="0"/>
        <charset val="1"/>
      </rPr>
      <t xml:space="preserve">+ ITSC 2 </t>
    </r>
    <r>
      <rPr>
        <sz val="10"/>
        <rFont val="Noto Sans CJK SC"/>
        <family val="2"/>
      </rPr>
      <t xml:space="preserve">케이스로 제한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스윕은 </t>
    </r>
    <r>
      <rPr>
        <sz val="10"/>
        <rFont val="Arial"/>
        <family val="0"/>
        <charset val="1"/>
      </rPr>
      <t xml:space="preserve">2D</t>
    </r>
  </si>
  <si>
    <r>
      <rPr>
        <b val="true"/>
        <sz val="13"/>
        <rFont val="Noto Sans CJK SC"/>
        <family val="2"/>
      </rPr>
      <t xml:space="preserve">출력 변수 정의 </t>
    </r>
    <r>
      <rPr>
        <b val="true"/>
        <sz val="13"/>
        <rFont val="Arial"/>
        <family val="0"/>
        <charset val="1"/>
      </rPr>
      <t xml:space="preserve">(Isaac Sim </t>
    </r>
    <r>
      <rPr>
        <b val="true"/>
        <sz val="13"/>
        <rFont val="Noto Sans CJK SC"/>
        <family val="2"/>
      </rPr>
      <t xml:space="preserve">연동 데이터 계약</t>
    </r>
    <r>
      <rPr>
        <b val="true"/>
        <sz val="13"/>
        <rFont val="Arial"/>
        <family val="0"/>
        <charset val="1"/>
      </rPr>
      <t xml:space="preserve">) + </t>
    </r>
    <r>
      <rPr>
        <b val="true"/>
        <sz val="13"/>
        <rFont val="Noto Sans CJK SC"/>
        <family val="2"/>
      </rPr>
      <t xml:space="preserve">외부 회로 넷리스트</t>
    </r>
  </si>
  <si>
    <t xml:space="preserve">출력</t>
  </si>
  <si>
    <r>
      <rPr>
        <b val="true"/>
        <sz val="10"/>
        <color rgb="FFFFFFFF"/>
        <rFont val="Arial"/>
        <family val="0"/>
        <charset val="1"/>
      </rPr>
      <t xml:space="preserve">Maxwell </t>
    </r>
    <r>
      <rPr>
        <b val="true"/>
        <sz val="10"/>
        <color rgb="FFFFFFFF"/>
        <rFont val="Noto Sans CJK SC"/>
        <family val="2"/>
      </rPr>
      <t xml:space="preserve">정의</t>
    </r>
  </si>
  <si>
    <t xml:space="preserve">저장 형식</t>
  </si>
  <si>
    <r>
      <rPr>
        <b val="true"/>
        <sz val="10"/>
        <color rgb="FFFFFFFF"/>
        <rFont val="Arial"/>
        <family val="0"/>
        <charset val="1"/>
      </rPr>
      <t xml:space="preserve">Isaac Sim </t>
    </r>
    <r>
      <rPr>
        <b val="true"/>
        <sz val="10"/>
        <color rgb="FFFFFFFF"/>
        <rFont val="Noto Sans CJK SC"/>
        <family val="2"/>
      </rPr>
      <t xml:space="preserve">용도</t>
    </r>
  </si>
  <si>
    <r>
      <rPr>
        <sz val="10"/>
        <rFont val="Noto Sans CJK SC"/>
        <family val="2"/>
      </rPr>
      <t xml:space="preserve">선전류 </t>
    </r>
    <r>
      <rPr>
        <sz val="10"/>
        <rFont val="Arial"/>
        <family val="0"/>
        <charset val="1"/>
      </rPr>
      <t xml:space="preserve">Ia, Ib, Ic</t>
    </r>
  </si>
  <si>
    <t xml:space="preserve">Winding → Current(PhaseA/B/C)</t>
  </si>
  <si>
    <t xml:space="preserve">waveforms.parquet (t, A), 50 μs</t>
  </si>
  <si>
    <r>
      <rPr>
        <sz val="10"/>
        <rFont val="Noto Sans CJK SC"/>
        <family val="2"/>
      </rPr>
      <t xml:space="preserve">전류 색 애니메이션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대시보드 파형</t>
    </r>
    <r>
      <rPr>
        <sz val="10"/>
        <rFont val="Arial"/>
        <family val="0"/>
        <charset val="1"/>
      </rPr>
      <t xml:space="preserve">, I₂/I₁</t>
    </r>
  </si>
  <si>
    <r>
      <rPr>
        <sz val="10"/>
        <rFont val="Noto Sans CJK SC"/>
        <family val="2"/>
      </rPr>
      <t xml:space="preserve">단락 루프 전류 </t>
    </r>
    <r>
      <rPr>
        <sz val="10"/>
        <rFont val="Arial"/>
        <family val="0"/>
        <charset val="1"/>
      </rPr>
      <t xml:space="preserve">I_f</t>
    </r>
  </si>
  <si>
    <t xml:space="preserve">Current(FaultLoop)</t>
  </si>
  <si>
    <t xml:space="preserve">waveforms.parquet</t>
  </si>
  <si>
    <t xml:space="preserve">핫스팟 발열 세기</t>
  </si>
  <si>
    <t xml:space="preserve">토크</t>
  </si>
  <si>
    <t xml:space="preserve">Moving1.Torque</t>
  </si>
  <si>
    <t xml:space="preserve">waveforms.parquet (N·m)</t>
  </si>
  <si>
    <t xml:space="preserve">토크 리플</t>
  </si>
  <si>
    <r>
      <rPr>
        <sz val="10"/>
        <rFont val="Noto Sans CJK SC"/>
        <family val="2"/>
      </rPr>
      <t xml:space="preserve">고정자 동손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코일별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</si>
  <si>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StrandedLoss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3·I²·R_coil </t>
    </r>
    <r>
      <rPr>
        <sz val="10"/>
        <rFont val="Noto Sans CJK SC"/>
        <family val="2"/>
      </rPr>
      <t xml:space="preserve">후처리</t>
    </r>
  </si>
  <si>
    <t xml:space="preserve">losses.json [W]</t>
  </si>
  <si>
    <t xml:space="preserve">열 모델 권선 영역</t>
  </si>
  <si>
    <r>
      <rPr>
        <sz val="10"/>
        <rFont val="Noto Sans CJK SC"/>
        <family val="2"/>
      </rPr>
      <t xml:space="preserve">치 철손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요크 철손</t>
    </r>
  </si>
  <si>
    <t xml:space="preserve">Fields Calculator: Integrate(Volume(StatorTeeth / StatorYoke), CoreLossDensity) → Output Variable</t>
  </si>
  <si>
    <t xml:space="preserve">losses.json</t>
  </si>
  <si>
    <r>
      <rPr>
        <sz val="10"/>
        <rFont val="Noto Sans CJK SC"/>
        <family val="2"/>
      </rPr>
      <t xml:space="preserve">열 모델 코어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하우징 영역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코어를 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요크 객체로 분리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</si>
  <si>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바 손실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엔드링 손실</t>
    </r>
  </si>
  <si>
    <t xml:space="preserve">Integrate(Volume(Bars / EndRings), OhmicLoss)</t>
  </si>
  <si>
    <t xml:space="preserve">열 모델 로터 영역</t>
  </si>
  <si>
    <t xml:space="preserve">단락 루프 손실</t>
  </si>
  <si>
    <t xml:space="preserve">I_f²·R_f + Integrate(Volume(Coil_1_short), OhmicLoss)</t>
  </si>
  <si>
    <t xml:space="preserve">국부 핫스팟</t>
  </si>
  <si>
    <t xml:space="preserve">특징량</t>
  </si>
  <si>
    <r>
      <rPr>
        <sz val="10"/>
        <rFont val="Noto Sans CJK SC"/>
        <family val="2"/>
      </rPr>
      <t xml:space="preserve">후처리 </t>
    </r>
    <r>
      <rPr>
        <sz val="10"/>
        <rFont val="Arial"/>
        <family val="0"/>
        <charset val="1"/>
      </rPr>
      <t xml:space="preserve">Python: </t>
    </r>
    <r>
      <rPr>
        <sz val="10"/>
        <rFont val="Noto Sans CJK SC"/>
        <family val="2"/>
      </rPr>
      <t xml:space="preserve">기본파 페이저 → </t>
    </r>
    <r>
      <rPr>
        <sz val="10"/>
        <rFont val="Arial"/>
        <family val="0"/>
        <charset val="1"/>
      </rPr>
      <t xml:space="preserve">I₂/I₁, </t>
    </r>
    <r>
      <rPr>
        <sz val="10"/>
        <rFont val="Noto Sans CJK SC"/>
        <family val="2"/>
      </rPr>
      <t xml:space="preserve">상 불평형</t>
    </r>
    <r>
      <rPr>
        <sz val="10"/>
        <rFont val="Arial"/>
        <family val="0"/>
        <charset val="1"/>
      </rPr>
      <t xml:space="preserve">, 3·5·7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, RSH(761/881 Hz) </t>
    </r>
    <r>
      <rPr>
        <sz val="10"/>
        <rFont val="Noto Sans CJK SC"/>
        <family val="2"/>
      </rPr>
      <t xml:space="preserve">진폭</t>
    </r>
  </si>
  <si>
    <t xml:space="preserve">features.json</t>
  </si>
  <si>
    <r>
      <rPr>
        <sz val="10"/>
        <rFont val="Noto Sans CJK SC"/>
        <family val="2"/>
      </rPr>
      <t xml:space="preserve">판정 엔진 </t>
    </r>
    <r>
      <rPr>
        <sz val="10"/>
        <rFont val="Arial"/>
        <family val="0"/>
        <charset val="1"/>
      </rPr>
      <t xml:space="preserve">simulation </t>
    </r>
    <r>
      <rPr>
        <sz val="10"/>
        <rFont val="Noto Sans CJK SC"/>
        <family val="2"/>
      </rPr>
      <t xml:space="preserve">등급 참조값</t>
    </r>
  </si>
  <si>
    <t xml:space="preserve">필드 스냅샷</t>
  </si>
  <si>
    <r>
      <rPr>
        <sz val="10"/>
        <rFont val="Arial"/>
        <family val="0"/>
        <charset val="1"/>
      </rPr>
      <t xml:space="preserve">Export → Fields → Grid (B, J) </t>
    </r>
    <r>
      <rPr>
        <sz val="10"/>
        <rFont val="Noto Sans CJK SC"/>
        <family val="2"/>
      </rPr>
      <t xml:space="preserve">정규 격자 </t>
    </r>
    <r>
      <rPr>
        <sz val="10"/>
        <rFont val="Arial"/>
        <family val="0"/>
        <charset val="1"/>
      </rPr>
      <t xml:space="preserve">2 mm, </t>
    </r>
    <r>
      <rPr>
        <sz val="10"/>
        <rFont val="Noto Sans CJK SC"/>
        <family val="2"/>
      </rPr>
      <t xml:space="preserve">마지막 시점</t>
    </r>
  </si>
  <si>
    <t xml:space="preserve">field_B.npz / field_J.npz</t>
  </si>
  <si>
    <t xml:space="preserve">모터 메시 정점 색 히트맵</t>
  </si>
  <si>
    <t xml:space="preserve">검증 블록</t>
  </si>
  <si>
    <r>
      <rPr>
        <sz val="10"/>
        <rFont val="Noto Sans CJK SC"/>
        <family val="2"/>
      </rPr>
      <t xml:space="preserve">정격 케이스</t>
    </r>
    <r>
      <rPr>
        <sz val="10"/>
        <rFont val="Arial"/>
        <family val="0"/>
        <charset val="1"/>
      </rPr>
      <t xml:space="preserve">: I_rms, PF, η(= P_out/(P_out+ΣP)), T_avg</t>
    </r>
  </si>
  <si>
    <t xml:space="preserve">validation.json</t>
  </si>
  <si>
    <r>
      <rPr>
        <sz val="10"/>
        <rFont val="Noto Sans CJK SC"/>
        <family val="2"/>
      </rPr>
      <t xml:space="preserve">카탈로그 정합 자동 판정 </t>
    </r>
    <r>
      <rPr>
        <sz val="10"/>
        <rFont val="Arial"/>
        <family val="0"/>
        <charset val="1"/>
      </rPr>
      <t xml:space="preserve">(±5 % / ±0.03 / ±1.5 %p)</t>
    </r>
  </si>
  <si>
    <t xml:space="preserve">매니페스트</t>
  </si>
  <si>
    <r>
      <rPr>
        <sz val="10"/>
        <rFont val="Noto Sans CJK SC"/>
        <family val="2"/>
      </rPr>
      <t xml:space="preserve">케이스 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결함 비율</t>
    </r>
    <r>
      <rPr>
        <sz val="10"/>
        <rFont val="Arial"/>
        <family val="0"/>
        <charset val="1"/>
      </rPr>
      <t xml:space="preserve">·R_f·</t>
    </r>
    <r>
      <rPr>
        <sz val="10"/>
        <rFont val="Noto Sans CJK SC"/>
        <family val="2"/>
      </rPr>
      <t xml:space="preserve">온도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샘플링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모델 해시</t>
    </r>
    <r>
      <rPr>
        <sz val="10"/>
        <rFont val="Arial"/>
        <family val="0"/>
        <charset val="1"/>
      </rPr>
      <t xml:space="preserve">, RMxprt </t>
    </r>
    <r>
      <rPr>
        <sz val="10"/>
        <rFont val="Noto Sans CJK SC"/>
        <family val="2"/>
      </rPr>
      <t xml:space="preserve">입력 사본</t>
    </r>
  </si>
  <si>
    <t xml:space="preserve">manifest.json</t>
  </si>
  <si>
    <r>
      <rPr>
        <sz val="10"/>
        <rFont val="Arial"/>
        <family val="0"/>
        <charset val="1"/>
      </rPr>
      <t xml:space="preserve">FemSource </t>
    </r>
    <r>
      <rPr>
        <sz val="10"/>
        <rFont val="Noto Sans CJK SC"/>
        <family val="2"/>
      </rPr>
      <t xml:space="preserve">보간 격자 정의</t>
    </r>
  </si>
  <si>
    <r>
      <rPr>
        <b val="true"/>
        <sz val="10"/>
        <rFont val="Noto Sans CJK SC"/>
        <family val="2"/>
      </rPr>
      <t xml:space="preserve">외부 회로 </t>
    </r>
    <r>
      <rPr>
        <b val="true"/>
        <sz val="10"/>
        <rFont val="Arial"/>
        <family val="0"/>
        <charset val="1"/>
      </rPr>
      <t xml:space="preserve">(Maxwell Circuit Editor) </t>
    </r>
    <r>
      <rPr>
        <b val="true"/>
        <sz val="10"/>
        <rFont val="Noto Sans CJK SC"/>
        <family val="2"/>
      </rPr>
      <t xml:space="preserve">넷리스트 개요</t>
    </r>
  </si>
  <si>
    <r>
      <rPr>
        <sz val="10"/>
        <rFont val="Arial"/>
        <family val="0"/>
        <charset val="1"/>
      </rPr>
      <t xml:space="preserve">V_A: </t>
    </r>
    <r>
      <rPr>
        <sz val="10"/>
        <rFont val="Noto Sans CJK SC"/>
        <family val="2"/>
      </rPr>
      <t xml:space="preserve">노드 </t>
    </r>
    <r>
      <rPr>
        <sz val="10"/>
        <rFont val="Arial"/>
        <family val="0"/>
        <charset val="1"/>
      </rPr>
      <t xml:space="preserve">N1–GND, 310.3 V·sin(2π·60·t)           V_B: N2–GND, </t>
    </r>
    <r>
      <rPr>
        <sz val="10"/>
        <rFont val="Noto Sans CJK SC"/>
        <family val="2"/>
      </rPr>
      <t xml:space="preserve">위상 −</t>
    </r>
    <r>
      <rPr>
        <sz val="10"/>
        <rFont val="Arial"/>
        <family val="0"/>
        <charset val="1"/>
      </rPr>
      <t xml:space="preserve">120°           V_C: N3–GND, </t>
    </r>
    <r>
      <rPr>
        <sz val="10"/>
        <rFont val="Noto Sans CJK SC"/>
        <family val="2"/>
      </rPr>
      <t xml:space="preserve">위상 −</t>
    </r>
    <r>
      <rPr>
        <sz val="10"/>
        <rFont val="Arial"/>
        <family val="0"/>
        <charset val="1"/>
      </rPr>
      <t xml:space="preserve">240°</t>
    </r>
  </si>
  <si>
    <r>
      <rPr>
        <sz val="10"/>
        <rFont val="Arial"/>
        <family val="0"/>
        <charset val="1"/>
      </rPr>
      <t xml:space="preserve">PhaseA </t>
    </r>
    <r>
      <rPr>
        <sz val="10"/>
        <rFont val="Noto Sans CJK SC"/>
        <family val="2"/>
      </rPr>
      <t xml:space="preserve">권선 </t>
    </r>
    <r>
      <rPr>
        <sz val="10"/>
        <rFont val="Arial"/>
        <family val="0"/>
        <charset val="1"/>
      </rPr>
      <t xml:space="preserve">(Coil_1_healthy </t>
    </r>
    <r>
      <rPr>
        <sz val="10"/>
        <rFont val="Noto Sans CJK SC"/>
        <family val="2"/>
      </rPr>
      <t xml:space="preserve">포함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코일 직렬</t>
    </r>
    <r>
      <rPr>
        <sz val="10"/>
        <rFont val="Arial"/>
        <family val="0"/>
        <charset val="1"/>
      </rPr>
      <t xml:space="preserve">): N1 – Nn (</t>
    </r>
    <r>
      <rPr>
        <sz val="10"/>
        <rFont val="Noto Sans CJK SC"/>
        <family val="2"/>
      </rPr>
      <t xml:space="preserve">중성점</t>
    </r>
    <r>
      <rPr>
        <sz val="10"/>
        <rFont val="Arial"/>
        <family val="0"/>
        <charset val="1"/>
      </rPr>
      <t xml:space="preserve">)     PhaseB: N2 – Nn     PhaseC: N3 – Nn     Nn: </t>
    </r>
    <r>
      <rPr>
        <sz val="10"/>
        <rFont val="Noto Sans CJK SC"/>
        <family val="2"/>
      </rPr>
      <t xml:space="preserve">중성점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절연</t>
    </r>
    <r>
      <rPr>
        <sz val="10"/>
        <rFont val="Arial"/>
        <family val="0"/>
        <charset val="1"/>
      </rPr>
      <t xml:space="preserve">, GND 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1 MΩ </t>
    </r>
    <r>
      <rPr>
        <sz val="10"/>
        <rFont val="Noto Sans CJK SC"/>
        <family val="2"/>
      </rPr>
      <t xml:space="preserve">로 기준 고정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</si>
  <si>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FaultLoop </t>
    </r>
    <r>
      <rPr>
        <sz val="10"/>
        <rFont val="Noto Sans CJK SC"/>
        <family val="2"/>
      </rPr>
      <t xml:space="preserve">권선 </t>
    </r>
    <r>
      <rPr>
        <sz val="10"/>
        <rFont val="Arial"/>
        <family val="0"/>
        <charset val="1"/>
      </rPr>
      <t xml:space="preserve">(Coil_1_short, n </t>
    </r>
    <r>
      <rPr>
        <sz val="10"/>
        <rFont val="Noto Sans CJK SC"/>
        <family val="2"/>
      </rPr>
      <t xml:space="preserve">턴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노드 </t>
    </r>
    <r>
      <rPr>
        <sz val="10"/>
        <rFont val="Arial"/>
        <family val="0"/>
        <charset val="1"/>
      </rPr>
      <t xml:space="preserve">F1–F2.  R_f (0.1 Ω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1.0 Ω) + L_f 1 μH 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F1–F2 </t>
    </r>
    <r>
      <rPr>
        <sz val="10"/>
        <rFont val="Noto Sans CJK SC"/>
        <family val="2"/>
      </rPr>
      <t xml:space="preserve">단락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정상 케이스는 </t>
    </r>
    <r>
      <rPr>
        <sz val="10"/>
        <rFont val="Arial"/>
        <family val="0"/>
        <charset val="1"/>
      </rPr>
      <t xml:space="preserve">R_f = 1 MΩ (</t>
    </r>
    <r>
      <rPr>
        <sz val="10"/>
        <rFont val="Noto Sans CJK SC"/>
        <family val="2"/>
      </rPr>
      <t xml:space="preserve">개방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</si>
  <si>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선 임피던스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각 상에 </t>
    </r>
    <r>
      <rPr>
        <sz val="10"/>
        <rFont val="Arial"/>
        <family val="0"/>
        <charset val="1"/>
      </rPr>
      <t xml:space="preserve">R_line = 0, L_line = 0 (</t>
    </r>
    <r>
      <rPr>
        <sz val="10"/>
        <rFont val="Noto Sans CJK SC"/>
        <family val="2"/>
      </rPr>
      <t xml:space="preserve">현장 재현 시 케이블 값 삽입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전압 불평형 케이스</t>
    </r>
    <r>
      <rPr>
        <sz val="10"/>
        <rFont val="Arial"/>
        <family val="0"/>
        <charset val="1"/>
      </rPr>
      <t xml:space="preserve">: V_B </t>
    </r>
    <r>
      <rPr>
        <sz val="10"/>
        <rFont val="Noto Sans CJK SC"/>
        <family val="2"/>
      </rPr>
      <t xml:space="preserve">진폭 </t>
    </r>
    <r>
      <rPr>
        <sz val="10"/>
        <rFont val="Arial"/>
        <family val="0"/>
        <charset val="1"/>
      </rPr>
      <t xml:space="preserve">× (1 − u), u = 0.02.</t>
    </r>
  </si>
  <si>
    <r>
      <rPr>
        <sz val="10"/>
        <rFont val="Noto Sans CJK SC"/>
        <family val="2"/>
      </rPr>
      <t xml:space="preserve">권선 저항</t>
    </r>
    <r>
      <rPr>
        <sz val="10"/>
        <rFont val="Arial"/>
        <family val="0"/>
        <charset val="1"/>
      </rPr>
      <t xml:space="preserve">: Winding </t>
    </r>
    <r>
      <rPr>
        <sz val="10"/>
        <rFont val="Noto Sans CJK SC"/>
        <family val="2"/>
      </rPr>
      <t xml:space="preserve">속성 </t>
    </r>
    <r>
      <rPr>
        <sz val="10"/>
        <rFont val="Arial"/>
        <family val="0"/>
        <charset val="1"/>
      </rPr>
      <t xml:space="preserve">Resistance = R_1·(</t>
    </r>
    <r>
      <rPr>
        <sz val="10"/>
        <rFont val="Noto Sans CJK SC"/>
        <family val="2"/>
      </rPr>
      <t xml:space="preserve">코일 수 분담</t>
    </r>
    <r>
      <rPr>
        <sz val="10"/>
        <rFont val="Arial"/>
        <family val="0"/>
        <charset val="1"/>
      </rPr>
      <t xml:space="preserve">). 95 °C </t>
    </r>
    <r>
      <rPr>
        <sz val="10"/>
        <rFont val="Noto Sans CJK SC"/>
        <family val="2"/>
      </rPr>
      <t xml:space="preserve">케이스는 </t>
    </r>
    <r>
      <rPr>
        <sz val="10"/>
        <rFont val="Arial"/>
        <family val="0"/>
        <charset val="1"/>
      </rPr>
      <t xml:space="preserve">R_1(95 °C) = 1.62 Ω, 20 °C </t>
    </r>
    <r>
      <rPr>
        <sz val="10"/>
        <rFont val="Noto Sans CJK SC"/>
        <family val="2"/>
      </rPr>
      <t xml:space="preserve">케이스는 </t>
    </r>
    <r>
      <rPr>
        <sz val="10"/>
        <rFont val="Arial"/>
        <family val="0"/>
        <charset val="1"/>
      </rPr>
      <t xml:space="preserve">×0.773.</t>
    </r>
  </si>
  <si>
    <t xml:space="preserve">실물 확보 시 확인 순서 — 가정값 → 실측값 교체</t>
  </si>
  <si>
    <t xml:space="preserve">순서</t>
  </si>
  <si>
    <t xml:space="preserve">확인 항목</t>
  </si>
  <si>
    <t xml:space="preserve">방법</t>
  </si>
  <si>
    <t xml:space="preserve">교체되는 시트 셀</t>
  </si>
  <si>
    <t xml:space="preserve">영향</t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</si>
  <si>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회전수</t>
    </r>
  </si>
  <si>
    <t xml:space="preserve">명판 사진</t>
  </si>
  <si>
    <r>
      <rPr>
        <sz val="10"/>
        <rFont val="Noto Sans CJK SC"/>
        <family val="2"/>
      </rPr>
      <t xml:space="preserve">설계값 </t>
    </r>
    <r>
      <rPr>
        <sz val="10"/>
        <rFont val="Arial"/>
        <family val="0"/>
        <charset val="1"/>
      </rPr>
      <t xml:space="preserve">§1, Vph·a</t>
    </r>
  </si>
  <si>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판정 </t>
    </r>
    <r>
      <rPr>
        <sz val="10"/>
        <rFont val="Arial"/>
        <family val="0"/>
        <charset val="1"/>
      </rPr>
      <t xml:space="preserve">I_rated </t>
    </r>
    <r>
      <rPr>
        <sz val="10"/>
        <rFont val="Noto Sans CJK SC"/>
        <family val="2"/>
      </rPr>
      <t xml:space="preserve">확정</t>
    </r>
    <r>
      <rPr>
        <sz val="10"/>
        <rFont val="Arial"/>
        <family val="0"/>
        <charset val="1"/>
      </rPr>
      <t xml:space="preserve">, Y/Δ </t>
    </r>
    <r>
      <rPr>
        <sz val="10"/>
        <rFont val="Noto Sans CJK SC"/>
        <family val="2"/>
      </rPr>
      <t xml:space="preserve">확정</t>
    </r>
  </si>
  <si>
    <r>
      <rPr>
        <sz val="10"/>
        <rFont val="Noto Sans CJK SC"/>
        <family val="2"/>
      </rPr>
      <t xml:space="preserve">로터 바 수 </t>
    </r>
    <r>
      <rPr>
        <sz val="10"/>
        <rFont val="Arial"/>
        <family val="0"/>
        <charset val="1"/>
      </rPr>
      <t xml:space="preserve">Q_r</t>
    </r>
  </si>
  <si>
    <r>
      <rPr>
        <sz val="10"/>
        <rFont val="Noto Sans CJK SC"/>
        <family val="2"/>
      </rPr>
      <t xml:space="preserve">로터 축방향 사진에서 바 자국 세기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표시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또는 전류 </t>
    </r>
    <r>
      <rPr>
        <sz val="10"/>
        <rFont val="Arial"/>
        <family val="0"/>
        <charset val="1"/>
      </rPr>
      <t xml:space="preserve">RSH</t>
    </r>
  </si>
  <si>
    <r>
      <rPr>
        <sz val="10"/>
        <rFont val="Noto Sans CJK SC"/>
        <family val="2"/>
      </rPr>
      <t xml:space="preserve">설계값 </t>
    </r>
    <r>
      <rPr>
        <sz val="10"/>
        <rFont val="Arial"/>
        <family val="0"/>
        <charset val="1"/>
      </rPr>
      <t xml:space="preserve">Qr</t>
    </r>
  </si>
  <si>
    <r>
      <rPr>
        <sz val="10"/>
        <rFont val="Noto Sans CJK SC"/>
        <family val="2"/>
      </rPr>
      <t xml:space="preserve">슬롯 고조파 주파수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힘파 차수 — 가정 중 영향 최대</t>
    </r>
  </si>
  <si>
    <r>
      <rPr>
        <sz val="10"/>
        <rFont val="Noto Sans CJK SC"/>
        <family val="2"/>
      </rPr>
      <t xml:space="preserve">로터 측면 비스듬히 사진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양단 바 어긋남 슬롯 수</t>
    </r>
  </si>
  <si>
    <r>
      <rPr>
        <sz val="10"/>
        <rFont val="Noto Sans CJK SC"/>
        <family val="2"/>
      </rPr>
      <t xml:space="preserve">설계값 </t>
    </r>
    <r>
      <rPr>
        <sz val="10"/>
        <rFont val="Arial"/>
        <family val="0"/>
        <charset val="1"/>
      </rPr>
      <t xml:space="preserve">skew</t>
    </r>
  </si>
  <si>
    <r>
      <rPr>
        <sz val="10"/>
        <rFont val="Noto Sans CJK SC"/>
        <family val="2"/>
      </rPr>
      <t xml:space="preserve">힘파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동기토크 감쇠</t>
    </r>
    <r>
      <rPr>
        <sz val="10"/>
        <rFont val="Arial"/>
        <family val="0"/>
        <charset val="1"/>
      </rPr>
      <t xml:space="preserve">, 3D </t>
    </r>
    <r>
      <rPr>
        <sz val="10"/>
        <rFont val="Noto Sans CJK SC"/>
        <family val="2"/>
      </rPr>
      <t xml:space="preserve">트위스트 각</t>
    </r>
  </si>
  <si>
    <r>
      <rPr>
        <sz val="10"/>
        <rFont val="Noto Sans CJK SC"/>
        <family val="2"/>
      </rPr>
      <t xml:space="preserve">고정자 슬롯 수 </t>
    </r>
    <r>
      <rPr>
        <sz val="10"/>
        <rFont val="Arial"/>
        <family val="0"/>
        <charset val="1"/>
      </rPr>
      <t xml:space="preserve">Q_s</t>
    </r>
  </si>
  <si>
    <t xml:space="preserve">보어 슬롯 웨지 세기</t>
  </si>
  <si>
    <r>
      <rPr>
        <sz val="10"/>
        <rFont val="Noto Sans CJK SC"/>
        <family val="2"/>
      </rPr>
      <t xml:space="preserve">설계값 </t>
    </r>
    <r>
      <rPr>
        <sz val="10"/>
        <rFont val="Arial"/>
        <family val="0"/>
        <charset val="1"/>
      </rPr>
      <t xml:space="preserve">Qs</t>
    </r>
  </si>
  <si>
    <t xml:space="preserve">권선 배치</t>
  </si>
  <si>
    <r>
      <rPr>
        <sz val="10"/>
        <rFont val="Noto Sans CJK SC"/>
        <family val="2"/>
      </rPr>
      <t xml:space="preserve">코일당 턴수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소선 지름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병렬 회로</t>
    </r>
  </si>
  <si>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분리 계수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코일군 점퍼 관찰</t>
    </r>
  </si>
  <si>
    <r>
      <rPr>
        <sz val="10"/>
        <rFont val="Noto Sans CJK SC"/>
        <family val="2"/>
      </rPr>
      <t xml:space="preserve">설계값 </t>
    </r>
    <r>
      <rPr>
        <sz val="10"/>
        <rFont val="Arial"/>
        <family val="0"/>
        <charset val="1"/>
      </rPr>
      <t xml:space="preserve">Nc·dw·a</t>
    </r>
  </si>
  <si>
    <r>
      <rPr>
        <sz val="10"/>
        <rFont val="Arial"/>
        <family val="0"/>
        <charset val="1"/>
      </rPr>
      <t xml:space="preserve">ITSC </t>
    </r>
    <r>
      <rPr>
        <sz val="10"/>
        <rFont val="Noto Sans CJK SC"/>
        <family val="2"/>
      </rPr>
      <t xml:space="preserve">비율 분모</t>
    </r>
    <r>
      <rPr>
        <sz val="10"/>
        <rFont val="Arial"/>
        <family val="0"/>
        <charset val="1"/>
      </rPr>
      <t xml:space="preserve">, R_1</t>
    </r>
  </si>
  <si>
    <t xml:space="preserve">베어링 번호</t>
  </si>
  <si>
    <t xml:space="preserve">베어링 각인</t>
  </si>
  <si>
    <r>
      <rPr>
        <sz val="10"/>
        <rFont val="Noto Sans CJK SC"/>
        <family val="2"/>
      </rPr>
      <t xml:space="preserve">설계값 </t>
    </r>
    <r>
      <rPr>
        <sz val="10"/>
        <rFont val="Arial"/>
        <family val="0"/>
        <charset val="1"/>
      </rPr>
      <t xml:space="preserve">brg</t>
    </r>
  </si>
  <si>
    <t xml:space="preserve">BPFO/BPFI</t>
  </si>
  <si>
    <r>
      <rPr>
        <sz val="10"/>
        <rFont val="Noto Sans CJK SC"/>
        <family val="2"/>
      </rPr>
      <t xml:space="preserve">적층 길이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코어 외경</t>
    </r>
  </si>
  <si>
    <t xml:space="preserve">분해 실측</t>
  </si>
  <si>
    <r>
      <rPr>
        <sz val="10"/>
        <rFont val="Noto Sans CJK SC"/>
        <family val="2"/>
      </rPr>
      <t xml:space="preserve">설계값 </t>
    </r>
    <r>
      <rPr>
        <sz val="10"/>
        <rFont val="Arial"/>
        <family val="0"/>
        <charset val="1"/>
      </rPr>
      <t xml:space="preserve">L·Dso</t>
    </r>
  </si>
  <si>
    <r>
      <rPr>
        <sz val="10"/>
        <rFont val="Noto Sans CJK SC"/>
        <family val="2"/>
      </rPr>
      <t xml:space="preserve">자속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관성 검산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</si>
</sst>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%"/>
    <numFmt numFmtId="166" formatCode="0.0000"/>
    <numFmt numFmtId="167" formatCode="0.00"/>
    <numFmt numFmtId="168" formatCode="0.0%"/>
    <numFmt numFmtId="169" formatCode="0.0"/>
    <numFmt numFmtId="170" formatCode="0"/>
    <numFmt numFmtId="171" formatCode="0.000"/>
    <numFmt numFmtId="172" formatCode="0.00000"/>
    <numFmt numFmtId="173" formatCode="General"/>
    <numFmt numFmtId="174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0"/>
      <name val="Arial"/>
      <family val="0"/>
      <charset val="1"/>
    </font>
    <font>
      <i val="true"/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F0D9"/>
      </patternFill>
    </fill>
    <fill>
      <patternFill patternType="solid">
        <fgColor rgb="FFE2F0D9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5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9.85" hidden="false" customHeight="false" outlineLevel="0" collapsed="false">
      <c r="A5" s="4" t="s">
        <v>6</v>
      </c>
      <c r="B5" s="4" t="s">
        <v>7</v>
      </c>
      <c r="C5" s="4" t="str">
        <f aca="false">"36 / "&amp;'설계값(라이브)'!$C$48</f>
        <v>36 / 28</v>
      </c>
      <c r="D5" s="4" t="s">
        <v>8</v>
      </c>
    </row>
    <row r="6" customFormat="false" ht="15" hidden="false" customHeight="false" outlineLevel="0" collapsed="false">
      <c r="A6" s="4" t="s">
        <v>6</v>
      </c>
      <c r="B6" s="4" t="s">
        <v>9</v>
      </c>
      <c r="C6" s="4" t="str">
        <f aca="false">'설계값(라이브)'!$C$49&amp;" 고정자 슬롯피치 = "&amp;TEXT('설계값(라이브)'!$C$156,"0.0")&amp;"° mech / "&amp;TEXT('설계값(라이브)'!$C$157,"0")&amp;"° elec"</f>
        <v>1 고정자 슬롯피치 = 10.0° mech / 20° elec</v>
      </c>
      <c r="D6" s="4" t="s">
        <v>10</v>
      </c>
    </row>
    <row r="7" customFormat="false" ht="15" hidden="false" customHeight="false" outlineLevel="0" collapsed="false">
      <c r="A7" s="4" t="s">
        <v>6</v>
      </c>
      <c r="B7" s="4" t="s">
        <v>11</v>
      </c>
      <c r="C7" s="4" t="str">
        <f aca="false">"2층 중권, 피치 "&amp;'설계값(라이브)'!$C$51&amp;"/9, a="&amp;'설계값(라이브)'!$C$52&amp;", 코일당 "&amp;'설계값(라이브)'!$C$67&amp;" turn, "&amp;'설계값(라이브)'!$C$53&amp;"×Ø"&amp;TEXT('설계값(라이브)'!$C$54,"0.00")</f>
        <v>2층 중권, 피치 8/9, a=1, 코일당 15 turn, 2×Ø0.90</v>
      </c>
      <c r="D7" s="5" t="s">
        <v>12</v>
      </c>
    </row>
    <row r="8" customFormat="false" ht="15" hidden="false" customHeight="false" outlineLevel="0" collapsed="false">
      <c r="A8" s="4" t="s">
        <v>6</v>
      </c>
      <c r="B8" s="4" t="s">
        <v>13</v>
      </c>
      <c r="C8" s="4" t="n">
        <f aca="false">'설계값(라이브)'!$C$68</f>
        <v>180</v>
      </c>
      <c r="D8" s="5" t="s">
        <v>14</v>
      </c>
    </row>
    <row r="9" customFormat="false" ht="15" hidden="false" customHeight="false" outlineLevel="0" collapsed="false">
      <c r="A9" s="4" t="s">
        <v>6</v>
      </c>
      <c r="B9" s="4" t="s">
        <v>15</v>
      </c>
      <c r="C9" s="4" t="str">
        <f aca="false">"D_so "&amp;'설계값(라이브)'!$C$35&amp;" / D_si "&amp;'설계값(라이브)'!$C$37&amp;" / L "&amp;'설계값(라이브)'!$C$41&amp;" / g "&amp;'설계값(라이브)'!$C$39&amp;" mm"</f>
        <v>D_so 155 / D_si 98 / L 135 / g 0.3 mm</v>
      </c>
      <c r="D9" s="4"/>
    </row>
    <row r="10" customFormat="false" ht="15" hidden="false" customHeight="false" outlineLevel="0" collapsed="false">
      <c r="A10" s="4" t="s">
        <v>16</v>
      </c>
      <c r="B10" s="4" t="s">
        <v>17</v>
      </c>
      <c r="C10" s="6" t="n">
        <f aca="false">'설계값(라이브)'!$C$120</f>
        <v>0.894282459007641</v>
      </c>
      <c r="D10" s="5" t="s">
        <v>18</v>
      </c>
    </row>
    <row r="11" customFormat="false" ht="15" hidden="false" customHeight="false" outlineLevel="0" collapsed="false">
      <c r="A11" s="4" t="s">
        <v>16</v>
      </c>
      <c r="B11" s="4" t="s">
        <v>19</v>
      </c>
      <c r="C11" s="7" t="n">
        <f aca="false">'설계값(라이브)'!$C$183</f>
        <v>0.00859647630974911</v>
      </c>
      <c r="D11" s="5" t="s">
        <v>20</v>
      </c>
    </row>
    <row r="12" customFormat="false" ht="15" hidden="false" customHeight="false" outlineLevel="0" collapsed="false">
      <c r="A12" s="4" t="s">
        <v>16</v>
      </c>
      <c r="B12" s="4" t="s">
        <v>21</v>
      </c>
      <c r="C12" s="8" t="n">
        <f aca="false">'설계값(라이브)'!$C$176</f>
        <v>2.6225479144322</v>
      </c>
      <c r="D12" s="4" t="s">
        <v>22</v>
      </c>
    </row>
    <row r="13" customFormat="false" ht="15" hidden="false" customHeight="false" outlineLevel="0" collapsed="false">
      <c r="A13" s="4" t="s">
        <v>16</v>
      </c>
      <c r="B13" s="4" t="s">
        <v>23</v>
      </c>
      <c r="C13" s="9" t="n">
        <f aca="false">'설계값(라이브)'!$C$145</f>
        <v>0.00158604512215104</v>
      </c>
      <c r="D13" s="5" t="s">
        <v>24</v>
      </c>
    </row>
    <row r="14" customFormat="false" ht="15" hidden="false" customHeight="false" outlineLevel="0" collapsed="false">
      <c r="A14" s="5" t="s">
        <v>25</v>
      </c>
      <c r="B14" s="4" t="s">
        <v>26</v>
      </c>
      <c r="C14" s="4" t="str">
        <f aca="false">TEXT('MCSA·진동 주파수'!C6,"0")&amp;" / "&amp;TEXT('MCSA·진동 주파수'!C7,"0")&amp;" Hz"</f>
        <v>761 / 881 Hz</v>
      </c>
      <c r="D14" s="5" t="s">
        <v>27</v>
      </c>
    </row>
    <row r="15" customFormat="false" ht="15" hidden="false" customHeight="false" outlineLevel="0" collapsed="false">
      <c r="A15" s="4" t="s">
        <v>28</v>
      </c>
      <c r="B15" s="4" t="s">
        <v>29</v>
      </c>
      <c r="C15" s="4" t="n">
        <f aca="false">COUNTIF('설계값(라이브)'!$E$5:$E$300,"카탈로그")</f>
        <v>16</v>
      </c>
      <c r="D15" s="4"/>
    </row>
    <row r="16" customFormat="false" ht="15" hidden="false" customHeight="false" outlineLevel="0" collapsed="false">
      <c r="A16" s="4" t="s">
        <v>28</v>
      </c>
      <c r="B16" s="4" t="s">
        <v>30</v>
      </c>
      <c r="C16" s="4" t="n">
        <f aca="false">COUNTIF('설계값(라이브)'!$E$5:$E$300,"계산")</f>
        <v>116</v>
      </c>
      <c r="D16" s="4"/>
    </row>
    <row r="17" customFormat="false" ht="15" hidden="false" customHeight="false" outlineLevel="0" collapsed="false">
      <c r="A17" s="4" t="s">
        <v>28</v>
      </c>
      <c r="B17" s="4" t="s">
        <v>31</v>
      </c>
      <c r="C17" s="4" t="n">
        <f aca="false">COUNTIF('설계값(라이브)'!$E$5:$E$300,"표준")</f>
        <v>24</v>
      </c>
      <c r="D17" s="4"/>
    </row>
    <row r="18" customFormat="false" ht="15" hidden="false" customHeight="false" outlineLevel="0" collapsed="false">
      <c r="A18" s="4" t="s">
        <v>28</v>
      </c>
      <c r="B18" s="4" t="s">
        <v>32</v>
      </c>
      <c r="C18" s="4" t="n">
        <f aca="false">COUNTIF('설계값(라이브)'!$E$5:$E$300,"설계선택")</f>
        <v>15</v>
      </c>
      <c r="D18" s="4"/>
    </row>
    <row r="19" customFormat="false" ht="15" hidden="false" customHeight="false" outlineLevel="0" collapsed="false">
      <c r="A19" s="4" t="s">
        <v>28</v>
      </c>
      <c r="B19" s="4" t="s">
        <v>33</v>
      </c>
      <c r="C19" s="4" t="n">
        <f aca="false">COUNTIF('설계값(라이브)'!$E$5:$E$300,"현장확인")</f>
        <v>6</v>
      </c>
      <c r="D19" s="5" t="s">
        <v>34</v>
      </c>
    </row>
    <row r="21" customFormat="false" ht="15" hidden="false" customHeight="false" outlineLevel="0" collapsed="false">
      <c r="A21" s="10" t="s">
        <v>35</v>
      </c>
    </row>
    <row r="23" customFormat="false" ht="15" hidden="false" customHeight="false" outlineLevel="0" collapsed="false">
      <c r="A23" s="11" t="s">
        <v>36</v>
      </c>
    </row>
    <row r="24" customFormat="false" ht="15" hidden="false" customHeight="false" outlineLevel="0" collapsed="false">
      <c r="A24" s="3" t="s">
        <v>37</v>
      </c>
      <c r="B24" s="3" t="s">
        <v>38</v>
      </c>
      <c r="C24" s="3" t="s">
        <v>39</v>
      </c>
      <c r="D24" s="3" t="s">
        <v>5</v>
      </c>
    </row>
    <row r="25" customFormat="false" ht="58.2" hidden="false" customHeight="false" outlineLevel="0" collapsed="false">
      <c r="A25" s="5" t="s">
        <v>40</v>
      </c>
      <c r="B25" s="12" t="s">
        <v>41</v>
      </c>
      <c r="C25" s="5" t="s">
        <v>42</v>
      </c>
      <c r="D25" s="5" t="s">
        <v>43</v>
      </c>
    </row>
    <row r="26" customFormat="false" ht="44" hidden="false" customHeight="false" outlineLevel="0" collapsed="false">
      <c r="A26" s="4" t="s">
        <v>44</v>
      </c>
      <c r="B26" s="12" t="s">
        <v>41</v>
      </c>
      <c r="C26" s="4" t="s">
        <v>45</v>
      </c>
      <c r="D26" s="5" t="s">
        <v>46</v>
      </c>
    </row>
    <row r="27" customFormat="false" ht="44" hidden="false" customHeight="false" outlineLevel="0" collapsed="false">
      <c r="A27" s="4" t="s">
        <v>47</v>
      </c>
      <c r="B27" s="12" t="s">
        <v>41</v>
      </c>
      <c r="C27" s="4" t="s">
        <v>48</v>
      </c>
      <c r="D27" s="4"/>
    </row>
    <row r="28" customFormat="false" ht="44" hidden="false" customHeight="false" outlineLevel="0" collapsed="false">
      <c r="A28" s="4" t="s">
        <v>49</v>
      </c>
      <c r="B28" s="12" t="s">
        <v>41</v>
      </c>
      <c r="C28" s="4" t="s">
        <v>50</v>
      </c>
      <c r="D28" s="5" t="s">
        <v>51</v>
      </c>
    </row>
    <row r="29" customFormat="false" ht="29.85" hidden="false" customHeight="false" outlineLevel="0" collapsed="false">
      <c r="A29" s="4" t="s">
        <v>52</v>
      </c>
      <c r="B29" s="12" t="s">
        <v>41</v>
      </c>
      <c r="C29" s="4" t="s">
        <v>50</v>
      </c>
      <c r="D29" s="5" t="s">
        <v>53</v>
      </c>
    </row>
    <row r="30" customFormat="false" ht="29.85" hidden="false" customHeight="false" outlineLevel="0" collapsed="false">
      <c r="A30" s="4" t="s">
        <v>54</v>
      </c>
      <c r="B30" s="12" t="s">
        <v>55</v>
      </c>
      <c r="C30" s="4" t="s">
        <v>56</v>
      </c>
      <c r="D30" s="4" t="s">
        <v>57</v>
      </c>
    </row>
    <row r="31" customFormat="false" ht="29.85" hidden="false" customHeight="false" outlineLevel="0" collapsed="false">
      <c r="A31" s="4" t="s">
        <v>58</v>
      </c>
      <c r="B31" s="12" t="s">
        <v>55</v>
      </c>
      <c r="C31" s="4" t="s">
        <v>59</v>
      </c>
      <c r="D31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62"/>
  </cols>
  <sheetData>
    <row r="1" customFormat="false" ht="21.6" hidden="false" customHeight="false" outlineLevel="0" collapsed="false">
      <c r="A1" s="1" t="s">
        <v>61</v>
      </c>
    </row>
    <row r="2" customFormat="false" ht="15" hidden="false" customHeight="false" outlineLevel="0" collapsed="false">
      <c r="A2" s="10" t="s">
        <v>62</v>
      </c>
    </row>
    <row r="4" customFormat="false" ht="15" hidden="false" customHeight="false" outlineLevel="0" collapsed="false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</row>
    <row r="5" customFormat="false" ht="15" hidden="false" customHeight="false" outlineLevel="0" collapsed="false">
      <c r="A5" s="13" t="s">
        <v>69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4" t="s">
        <v>70</v>
      </c>
      <c r="B6" s="12" t="s">
        <v>71</v>
      </c>
      <c r="C6" s="15" t="n">
        <v>2200</v>
      </c>
      <c r="D6" s="12" t="s">
        <v>72</v>
      </c>
      <c r="E6" s="16" t="s">
        <v>73</v>
      </c>
      <c r="F6" s="4"/>
    </row>
    <row r="7" customFormat="false" ht="15" hidden="false" customHeight="false" outlineLevel="0" collapsed="false">
      <c r="A7" s="4" t="s">
        <v>74</v>
      </c>
      <c r="B7" s="12" t="s">
        <v>75</v>
      </c>
      <c r="C7" s="15" t="n">
        <v>380</v>
      </c>
      <c r="D7" s="12" t="s">
        <v>76</v>
      </c>
      <c r="E7" s="16" t="s">
        <v>73</v>
      </c>
      <c r="F7" s="4"/>
    </row>
    <row r="8" customFormat="false" ht="15" hidden="false" customHeight="false" outlineLevel="0" collapsed="false">
      <c r="A8" s="4" t="s">
        <v>77</v>
      </c>
      <c r="B8" s="12" t="s">
        <v>78</v>
      </c>
      <c r="C8" s="15" t="n">
        <v>4.73</v>
      </c>
      <c r="D8" s="12" t="s">
        <v>79</v>
      </c>
      <c r="E8" s="16" t="s">
        <v>73</v>
      </c>
      <c r="F8" s="4"/>
    </row>
    <row r="9" customFormat="false" ht="15" hidden="false" customHeight="false" outlineLevel="0" collapsed="false">
      <c r="A9" s="4" t="s">
        <v>80</v>
      </c>
      <c r="B9" s="12" t="s">
        <v>81</v>
      </c>
      <c r="C9" s="17" t="n">
        <v>0.895</v>
      </c>
      <c r="D9" s="12" t="s">
        <v>82</v>
      </c>
      <c r="E9" s="16" t="s">
        <v>73</v>
      </c>
      <c r="F9" s="4"/>
    </row>
    <row r="10" customFormat="false" ht="15" hidden="false" customHeight="false" outlineLevel="0" collapsed="false">
      <c r="A10" s="4" t="s">
        <v>83</v>
      </c>
      <c r="B10" s="12" t="s">
        <v>84</v>
      </c>
      <c r="C10" s="15" t="n">
        <v>0.79</v>
      </c>
      <c r="D10" s="12" t="s">
        <v>82</v>
      </c>
      <c r="E10" s="16" t="s">
        <v>73</v>
      </c>
      <c r="F10" s="4"/>
    </row>
    <row r="11" customFormat="false" ht="15" hidden="false" customHeight="false" outlineLevel="0" collapsed="false">
      <c r="A11" s="4" t="s">
        <v>85</v>
      </c>
      <c r="B11" s="12" t="s">
        <v>86</v>
      </c>
      <c r="C11" s="15" t="n">
        <v>60</v>
      </c>
      <c r="D11" s="12" t="s">
        <v>87</v>
      </c>
      <c r="E11" s="16" t="s">
        <v>73</v>
      </c>
      <c r="F11" s="4"/>
    </row>
    <row r="12" customFormat="false" ht="15" hidden="false" customHeight="false" outlineLevel="0" collapsed="false">
      <c r="A12" s="4" t="s">
        <v>88</v>
      </c>
      <c r="B12" s="12" t="s">
        <v>89</v>
      </c>
      <c r="C12" s="15" t="n">
        <v>4</v>
      </c>
      <c r="D12" s="12" t="s">
        <v>82</v>
      </c>
      <c r="E12" s="16" t="s">
        <v>73</v>
      </c>
      <c r="F12" s="4"/>
    </row>
    <row r="13" customFormat="false" ht="15" hidden="false" customHeight="false" outlineLevel="0" collapsed="false">
      <c r="A13" s="4" t="s">
        <v>90</v>
      </c>
      <c r="B13" s="12" t="s">
        <v>91</v>
      </c>
      <c r="C13" s="15" t="n">
        <v>1760</v>
      </c>
      <c r="D13" s="12" t="s">
        <v>92</v>
      </c>
      <c r="E13" s="16" t="s">
        <v>73</v>
      </c>
      <c r="F13" s="4"/>
    </row>
    <row r="14" customFormat="false" ht="15" hidden="false" customHeight="false" outlineLevel="0" collapsed="false">
      <c r="A14" s="4" t="s">
        <v>93</v>
      </c>
      <c r="B14" s="12" t="s">
        <v>94</v>
      </c>
      <c r="C14" s="15" t="n">
        <v>2.1</v>
      </c>
      <c r="D14" s="12" t="s">
        <v>82</v>
      </c>
      <c r="E14" s="16" t="s">
        <v>73</v>
      </c>
      <c r="F14" s="5" t="s">
        <v>95</v>
      </c>
    </row>
    <row r="15" customFormat="false" ht="15" hidden="false" customHeight="false" outlineLevel="0" collapsed="false">
      <c r="A15" s="4" t="s">
        <v>96</v>
      </c>
      <c r="B15" s="12" t="s">
        <v>97</v>
      </c>
      <c r="C15" s="15" t="n">
        <v>2.5</v>
      </c>
      <c r="D15" s="12" t="s">
        <v>82</v>
      </c>
      <c r="E15" s="16" t="s">
        <v>73</v>
      </c>
      <c r="F15" s="5" t="s">
        <v>98</v>
      </c>
    </row>
    <row r="16" customFormat="false" ht="15" hidden="false" customHeight="false" outlineLevel="0" collapsed="false">
      <c r="A16" s="4" t="s">
        <v>99</v>
      </c>
      <c r="B16" s="12" t="s">
        <v>100</v>
      </c>
      <c r="C16" s="15" t="n">
        <v>6.5</v>
      </c>
      <c r="D16" s="12" t="s">
        <v>82</v>
      </c>
      <c r="E16" s="16" t="s">
        <v>73</v>
      </c>
      <c r="F16" s="5" t="s">
        <v>101</v>
      </c>
    </row>
    <row r="17" customFormat="false" ht="15" hidden="false" customHeight="false" outlineLevel="0" collapsed="false">
      <c r="A17" s="5" t="s">
        <v>102</v>
      </c>
      <c r="B17" s="12" t="s">
        <v>103</v>
      </c>
      <c r="C17" s="15" t="n">
        <v>0.008</v>
      </c>
      <c r="D17" s="12" t="s">
        <v>104</v>
      </c>
      <c r="E17" s="16" t="s">
        <v>73</v>
      </c>
      <c r="F17" s="5" t="s">
        <v>105</v>
      </c>
    </row>
    <row r="18" customFormat="false" ht="15" hidden="false" customHeight="false" outlineLevel="0" collapsed="false">
      <c r="A18" s="4" t="s">
        <v>106</v>
      </c>
      <c r="B18" s="12" t="s">
        <v>107</v>
      </c>
      <c r="C18" s="15" t="n">
        <v>41</v>
      </c>
      <c r="D18" s="12" t="s">
        <v>108</v>
      </c>
      <c r="E18" s="16" t="s">
        <v>73</v>
      </c>
      <c r="F18" s="4"/>
    </row>
    <row r="19" customFormat="false" ht="15" hidden="false" customHeight="false" outlineLevel="0" collapsed="false">
      <c r="A19" s="4" t="s">
        <v>109</v>
      </c>
      <c r="B19" s="12" t="s">
        <v>82</v>
      </c>
      <c r="C19" s="15" t="s">
        <v>110</v>
      </c>
      <c r="D19" s="12" t="s">
        <v>82</v>
      </c>
      <c r="E19" s="16" t="s">
        <v>73</v>
      </c>
      <c r="F19" s="4"/>
    </row>
    <row r="20" customFormat="false" ht="15" hidden="false" customHeight="false" outlineLevel="0" collapsed="false">
      <c r="A20" s="4" t="s">
        <v>111</v>
      </c>
      <c r="B20" s="12" t="s">
        <v>82</v>
      </c>
      <c r="C20" s="15" t="s">
        <v>112</v>
      </c>
      <c r="D20" s="12" t="s">
        <v>82</v>
      </c>
      <c r="E20" s="16" t="s">
        <v>73</v>
      </c>
      <c r="F20" s="4"/>
    </row>
    <row r="21" customFormat="false" ht="15" hidden="false" customHeight="false" outlineLevel="0" collapsed="false">
      <c r="A21" s="4" t="s">
        <v>113</v>
      </c>
      <c r="B21" s="12" t="s">
        <v>82</v>
      </c>
      <c r="C21" s="15" t="n">
        <v>2.8</v>
      </c>
      <c r="D21" s="12" t="s">
        <v>114</v>
      </c>
      <c r="E21" s="16" t="s">
        <v>73</v>
      </c>
      <c r="F21" s="4"/>
    </row>
    <row r="22" customFormat="false" ht="15" hidden="false" customHeight="false" outlineLevel="0" collapsed="false">
      <c r="A22" s="13" t="s">
        <v>115</v>
      </c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4" t="s">
        <v>116</v>
      </c>
      <c r="B23" s="12" t="s">
        <v>117</v>
      </c>
      <c r="C23" s="16" t="n">
        <f aca="false">$C$12/2</f>
        <v>2</v>
      </c>
      <c r="D23" s="12" t="s">
        <v>82</v>
      </c>
      <c r="E23" s="16" t="s">
        <v>118</v>
      </c>
      <c r="F23" s="4"/>
    </row>
    <row r="24" customFormat="false" ht="15" hidden="false" customHeight="false" outlineLevel="0" collapsed="false">
      <c r="A24" s="4" t="s">
        <v>119</v>
      </c>
      <c r="B24" s="12" t="s">
        <v>120</v>
      </c>
      <c r="C24" s="16" t="n">
        <f aca="false">120*$C$11/$C$12</f>
        <v>1800</v>
      </c>
      <c r="D24" s="12" t="s">
        <v>92</v>
      </c>
      <c r="E24" s="16" t="s">
        <v>118</v>
      </c>
      <c r="F24" s="4"/>
    </row>
    <row r="25" customFormat="false" ht="15" hidden="false" customHeight="false" outlineLevel="0" collapsed="false">
      <c r="A25" s="4" t="s">
        <v>121</v>
      </c>
      <c r="B25" s="12" t="s">
        <v>122</v>
      </c>
      <c r="C25" s="18" t="n">
        <f aca="false">($C$24-$C$13)/$C$24</f>
        <v>0.0222222222222222</v>
      </c>
      <c r="D25" s="12" t="s">
        <v>82</v>
      </c>
      <c r="E25" s="16" t="s">
        <v>118</v>
      </c>
      <c r="F25" s="4"/>
    </row>
    <row r="26" customFormat="false" ht="15" hidden="false" customHeight="false" outlineLevel="0" collapsed="false">
      <c r="A26" s="4" t="s">
        <v>123</v>
      </c>
      <c r="B26" s="12" t="s">
        <v>124</v>
      </c>
      <c r="C26" s="19" t="n">
        <f aca="false">$C$7/SQRT(3)</f>
        <v>219.393102292058</v>
      </c>
      <c r="D26" s="12" t="s">
        <v>76</v>
      </c>
      <c r="E26" s="16" t="s">
        <v>118</v>
      </c>
      <c r="F26" s="5" t="s">
        <v>125</v>
      </c>
    </row>
    <row r="27" customFormat="false" ht="15" hidden="false" customHeight="false" outlineLevel="0" collapsed="false">
      <c r="A27" s="4" t="s">
        <v>126</v>
      </c>
      <c r="B27" s="12" t="s">
        <v>127</v>
      </c>
      <c r="C27" s="20" t="n">
        <f aca="false">$C$6/$C$9</f>
        <v>2458.10055865922</v>
      </c>
      <c r="D27" s="12" t="s">
        <v>72</v>
      </c>
      <c r="E27" s="16" t="s">
        <v>118</v>
      </c>
      <c r="F27" s="4"/>
    </row>
    <row r="28" customFormat="false" ht="15" hidden="false" customHeight="false" outlineLevel="0" collapsed="false">
      <c r="A28" s="4" t="s">
        <v>128</v>
      </c>
      <c r="B28" s="12" t="s">
        <v>129</v>
      </c>
      <c r="C28" s="20" t="n">
        <f aca="false">$C$27-$C$6</f>
        <v>258.100558659218</v>
      </c>
      <c r="D28" s="12" t="s">
        <v>72</v>
      </c>
      <c r="E28" s="16" t="s">
        <v>118</v>
      </c>
      <c r="F28" s="4"/>
    </row>
    <row r="29" customFormat="false" ht="15" hidden="false" customHeight="false" outlineLevel="0" collapsed="false">
      <c r="A29" s="4" t="s">
        <v>130</v>
      </c>
      <c r="B29" s="12" t="s">
        <v>131</v>
      </c>
      <c r="C29" s="21" t="n">
        <f aca="false">9549*$C$6/1000/$C$13</f>
        <v>11.93625</v>
      </c>
      <c r="D29" s="12" t="s">
        <v>132</v>
      </c>
      <c r="E29" s="16" t="s">
        <v>118</v>
      </c>
      <c r="F29" s="4" t="s">
        <v>133</v>
      </c>
    </row>
    <row r="30" customFormat="false" ht="15" hidden="false" customHeight="false" outlineLevel="0" collapsed="false">
      <c r="A30" s="4" t="s">
        <v>134</v>
      </c>
      <c r="B30" s="12" t="s">
        <v>135</v>
      </c>
      <c r="C30" s="21" t="n">
        <f aca="false">$C$8*SQRT(1-$C$10^2)</f>
        <v>2.8999953637894</v>
      </c>
      <c r="D30" s="12" t="s">
        <v>79</v>
      </c>
      <c r="E30" s="16" t="s">
        <v>118</v>
      </c>
      <c r="F30" s="4"/>
    </row>
    <row r="31" customFormat="false" ht="15" hidden="false" customHeight="false" outlineLevel="0" collapsed="false">
      <c r="A31" s="4" t="s">
        <v>136</v>
      </c>
      <c r="B31" s="12" t="s">
        <v>137</v>
      </c>
      <c r="C31" s="19" t="n">
        <f aca="false">$C$16*$C$8</f>
        <v>30.745</v>
      </c>
      <c r="D31" s="12" t="s">
        <v>79</v>
      </c>
      <c r="E31" s="16" t="s">
        <v>118</v>
      </c>
      <c r="F31" s="4"/>
    </row>
    <row r="32" customFormat="false" ht="15" hidden="false" customHeight="false" outlineLevel="0" collapsed="false">
      <c r="A32" s="4" t="s">
        <v>138</v>
      </c>
      <c r="B32" s="12" t="s">
        <v>139</v>
      </c>
      <c r="C32" s="21" t="n">
        <f aca="false">$C$26/$C$31</f>
        <v>7.13589534207376</v>
      </c>
      <c r="D32" s="12" t="s">
        <v>140</v>
      </c>
      <c r="E32" s="16" t="s">
        <v>118</v>
      </c>
      <c r="F32" s="4"/>
    </row>
    <row r="33" customFormat="false" ht="15" hidden="false" customHeight="false" outlineLevel="0" collapsed="false">
      <c r="A33" s="4" t="s">
        <v>141</v>
      </c>
      <c r="B33" s="12" t="s">
        <v>142</v>
      </c>
      <c r="C33" s="16" t="n">
        <f aca="false">$C$17</f>
        <v>0.008</v>
      </c>
      <c r="D33" s="12" t="s">
        <v>104</v>
      </c>
      <c r="E33" s="16" t="s">
        <v>118</v>
      </c>
      <c r="F33" s="5" t="s">
        <v>143</v>
      </c>
    </row>
    <row r="34" customFormat="false" ht="15" hidden="false" customHeight="false" outlineLevel="0" collapsed="false">
      <c r="A34" s="13" t="s">
        <v>144</v>
      </c>
      <c r="B34" s="14"/>
      <c r="C34" s="14"/>
      <c r="D34" s="14"/>
      <c r="E34" s="14"/>
      <c r="F34" s="14"/>
    </row>
    <row r="35" customFormat="false" ht="15" hidden="false" customHeight="false" outlineLevel="0" collapsed="false">
      <c r="A35" s="4" t="s">
        <v>145</v>
      </c>
      <c r="B35" s="12" t="s">
        <v>146</v>
      </c>
      <c r="C35" s="22" t="n">
        <v>155</v>
      </c>
      <c r="D35" s="12" t="s">
        <v>147</v>
      </c>
      <c r="E35" s="16" t="s">
        <v>148</v>
      </c>
      <c r="F35" s="5" t="s">
        <v>149</v>
      </c>
    </row>
    <row r="36" customFormat="false" ht="15" hidden="false" customHeight="false" outlineLevel="0" collapsed="false">
      <c r="A36" s="4" t="s">
        <v>150</v>
      </c>
      <c r="B36" s="12" t="s">
        <v>151</v>
      </c>
      <c r="C36" s="22" t="n">
        <v>0.63</v>
      </c>
      <c r="D36" s="12" t="s">
        <v>82</v>
      </c>
      <c r="E36" s="16" t="s">
        <v>148</v>
      </c>
      <c r="F36" s="5" t="s">
        <v>152</v>
      </c>
    </row>
    <row r="37" customFormat="false" ht="15" hidden="false" customHeight="false" outlineLevel="0" collapsed="false">
      <c r="A37" s="4" t="s">
        <v>153</v>
      </c>
      <c r="B37" s="12" t="s">
        <v>154</v>
      </c>
      <c r="C37" s="16" t="n">
        <f aca="false">ROUND($C$35*$C$36,0)</f>
        <v>98</v>
      </c>
      <c r="D37" s="12" t="s">
        <v>147</v>
      </c>
      <c r="E37" s="16" t="s">
        <v>118</v>
      </c>
      <c r="F37" s="4"/>
    </row>
    <row r="38" customFormat="false" ht="15" hidden="false" customHeight="false" outlineLevel="0" collapsed="false">
      <c r="A38" s="4" t="s">
        <v>155</v>
      </c>
      <c r="B38" s="12" t="s">
        <v>156</v>
      </c>
      <c r="C38" s="21" t="n">
        <f aca="false">0.18+0.006*$C$6^0.4</f>
        <v>0.310352787510734</v>
      </c>
      <c r="D38" s="12" t="s">
        <v>147</v>
      </c>
      <c r="E38" s="16" t="s">
        <v>118</v>
      </c>
      <c r="F38" s="5" t="s">
        <v>157</v>
      </c>
    </row>
    <row r="39" customFormat="false" ht="15" hidden="false" customHeight="false" outlineLevel="0" collapsed="false">
      <c r="A39" s="4" t="s">
        <v>158</v>
      </c>
      <c r="B39" s="12" t="s">
        <v>159</v>
      </c>
      <c r="C39" s="22" t="n">
        <v>0.3</v>
      </c>
      <c r="D39" s="12" t="s">
        <v>147</v>
      </c>
      <c r="E39" s="16" t="s">
        <v>148</v>
      </c>
      <c r="F39" s="5" t="s">
        <v>160</v>
      </c>
    </row>
    <row r="40" customFormat="false" ht="15" hidden="false" customHeight="false" outlineLevel="0" collapsed="false">
      <c r="A40" s="4" t="s">
        <v>161</v>
      </c>
      <c r="B40" s="12" t="s">
        <v>162</v>
      </c>
      <c r="C40" s="19" t="n">
        <f aca="false">$C$37-2*$C$39</f>
        <v>97.4</v>
      </c>
      <c r="D40" s="12" t="s">
        <v>147</v>
      </c>
      <c r="E40" s="16" t="s">
        <v>118</v>
      </c>
      <c r="F40" s="4"/>
    </row>
    <row r="41" customFormat="false" ht="15" hidden="false" customHeight="false" outlineLevel="0" collapsed="false">
      <c r="A41" s="4" t="s">
        <v>163</v>
      </c>
      <c r="B41" s="12" t="s">
        <v>164</v>
      </c>
      <c r="C41" s="22" t="n">
        <v>135</v>
      </c>
      <c r="D41" s="12" t="s">
        <v>147</v>
      </c>
      <c r="E41" s="16" t="s">
        <v>165</v>
      </c>
      <c r="F41" s="4" t="s">
        <v>166</v>
      </c>
    </row>
    <row r="42" customFormat="false" ht="15" hidden="false" customHeight="false" outlineLevel="0" collapsed="false">
      <c r="A42" s="4" t="s">
        <v>167</v>
      </c>
      <c r="B42" s="12" t="s">
        <v>168</v>
      </c>
      <c r="C42" s="22" t="n">
        <v>0.96</v>
      </c>
      <c r="D42" s="12" t="s">
        <v>82</v>
      </c>
      <c r="E42" s="16" t="s">
        <v>148</v>
      </c>
      <c r="F42" s="5" t="s">
        <v>169</v>
      </c>
    </row>
    <row r="43" customFormat="false" ht="15" hidden="false" customHeight="false" outlineLevel="0" collapsed="false">
      <c r="A43" s="4" t="s">
        <v>170</v>
      </c>
      <c r="B43" s="12" t="s">
        <v>82</v>
      </c>
      <c r="C43" s="22" t="s">
        <v>171</v>
      </c>
      <c r="D43" s="12" t="s">
        <v>82</v>
      </c>
      <c r="E43" s="16" t="s">
        <v>148</v>
      </c>
      <c r="F43" s="5" t="s">
        <v>172</v>
      </c>
    </row>
    <row r="44" customFormat="false" ht="15" hidden="false" customHeight="false" outlineLevel="0" collapsed="false">
      <c r="A44" s="4" t="s">
        <v>173</v>
      </c>
      <c r="B44" s="12" t="s">
        <v>174</v>
      </c>
      <c r="C44" s="22" t="n">
        <v>36</v>
      </c>
      <c r="D44" s="12" t="s">
        <v>147</v>
      </c>
      <c r="E44" s="16" t="s">
        <v>148</v>
      </c>
      <c r="F44" s="5" t="s">
        <v>175</v>
      </c>
    </row>
    <row r="45" customFormat="false" ht="15" hidden="false" customHeight="false" outlineLevel="0" collapsed="false">
      <c r="A45" s="13" t="s">
        <v>176</v>
      </c>
      <c r="B45" s="14"/>
      <c r="C45" s="14"/>
      <c r="D45" s="14"/>
      <c r="E45" s="14"/>
      <c r="F45" s="14"/>
    </row>
    <row r="46" customFormat="false" ht="15" hidden="false" customHeight="false" outlineLevel="0" collapsed="false">
      <c r="A46" s="4" t="s">
        <v>177</v>
      </c>
      <c r="B46" s="12" t="s">
        <v>178</v>
      </c>
      <c r="C46" s="22" t="n">
        <v>36</v>
      </c>
      <c r="D46" s="12" t="s">
        <v>82</v>
      </c>
      <c r="E46" s="16" t="s">
        <v>148</v>
      </c>
      <c r="F46" s="5" t="s">
        <v>179</v>
      </c>
    </row>
    <row r="47" customFormat="false" ht="15" hidden="false" customHeight="false" outlineLevel="0" collapsed="false">
      <c r="A47" s="4" t="s">
        <v>180</v>
      </c>
      <c r="B47" s="12" t="s">
        <v>181</v>
      </c>
      <c r="C47" s="16" t="n">
        <f aca="false">$C$46/($C$12*3)</f>
        <v>3</v>
      </c>
      <c r="D47" s="12" t="s">
        <v>82</v>
      </c>
      <c r="E47" s="16" t="s">
        <v>118</v>
      </c>
      <c r="F47" s="4"/>
    </row>
    <row r="48" customFormat="false" ht="29.85" hidden="false" customHeight="false" outlineLevel="0" collapsed="false">
      <c r="A48" s="4" t="s">
        <v>182</v>
      </c>
      <c r="B48" s="12" t="s">
        <v>183</v>
      </c>
      <c r="C48" s="22" t="n">
        <v>28</v>
      </c>
      <c r="D48" s="12" t="s">
        <v>82</v>
      </c>
      <c r="E48" s="16" t="s">
        <v>165</v>
      </c>
      <c r="F48" s="4" t="s">
        <v>184</v>
      </c>
    </row>
    <row r="49" customFormat="false" ht="15" hidden="false" customHeight="false" outlineLevel="0" collapsed="false">
      <c r="A49" s="4" t="s">
        <v>9</v>
      </c>
      <c r="B49" s="12" t="s">
        <v>82</v>
      </c>
      <c r="C49" s="22" t="n">
        <v>1</v>
      </c>
      <c r="D49" s="16" t="s">
        <v>185</v>
      </c>
      <c r="E49" s="16" t="s">
        <v>165</v>
      </c>
      <c r="F49" s="5" t="s">
        <v>186</v>
      </c>
    </row>
    <row r="50" customFormat="false" ht="15" hidden="false" customHeight="false" outlineLevel="0" collapsed="false">
      <c r="A50" s="4" t="s">
        <v>187</v>
      </c>
      <c r="B50" s="12" t="s">
        <v>82</v>
      </c>
      <c r="C50" s="22" t="n">
        <v>2</v>
      </c>
      <c r="D50" s="12" t="s">
        <v>82</v>
      </c>
      <c r="E50" s="16" t="s">
        <v>148</v>
      </c>
      <c r="F50" s="5" t="s">
        <v>188</v>
      </c>
    </row>
    <row r="51" customFormat="false" ht="15" hidden="false" customHeight="false" outlineLevel="0" collapsed="false">
      <c r="A51" s="4" t="s">
        <v>189</v>
      </c>
      <c r="B51" s="12" t="s">
        <v>190</v>
      </c>
      <c r="C51" s="22" t="n">
        <v>8</v>
      </c>
      <c r="D51" s="16" t="s">
        <v>191</v>
      </c>
      <c r="E51" s="16" t="s">
        <v>148</v>
      </c>
      <c r="F51" s="4" t="s">
        <v>192</v>
      </c>
    </row>
    <row r="52" customFormat="false" ht="15" hidden="false" customHeight="false" outlineLevel="0" collapsed="false">
      <c r="A52" s="4" t="s">
        <v>193</v>
      </c>
      <c r="B52" s="12" t="s">
        <v>194</v>
      </c>
      <c r="C52" s="22" t="n">
        <v>1</v>
      </c>
      <c r="D52" s="12" t="s">
        <v>82</v>
      </c>
      <c r="E52" s="16" t="s">
        <v>165</v>
      </c>
      <c r="F52" s="5" t="s">
        <v>195</v>
      </c>
    </row>
    <row r="53" customFormat="false" ht="15" hidden="false" customHeight="false" outlineLevel="0" collapsed="false">
      <c r="A53" s="4" t="s">
        <v>196</v>
      </c>
      <c r="B53" s="12" t="s">
        <v>197</v>
      </c>
      <c r="C53" s="22" t="n">
        <v>2</v>
      </c>
      <c r="D53" s="16" t="s">
        <v>198</v>
      </c>
      <c r="E53" s="16" t="s">
        <v>165</v>
      </c>
      <c r="F53" s="4"/>
    </row>
    <row r="54" customFormat="false" ht="15" hidden="false" customHeight="false" outlineLevel="0" collapsed="false">
      <c r="A54" s="4" t="s">
        <v>199</v>
      </c>
      <c r="B54" s="12" t="s">
        <v>200</v>
      </c>
      <c r="C54" s="22" t="n">
        <v>0.9</v>
      </c>
      <c r="D54" s="12" t="s">
        <v>147</v>
      </c>
      <c r="E54" s="16" t="s">
        <v>165</v>
      </c>
      <c r="F54" s="5" t="s">
        <v>201</v>
      </c>
    </row>
    <row r="55" customFormat="false" ht="15" hidden="false" customHeight="false" outlineLevel="0" collapsed="false">
      <c r="A55" s="4" t="s">
        <v>202</v>
      </c>
      <c r="B55" s="12" t="s">
        <v>203</v>
      </c>
      <c r="C55" s="22" t="n">
        <v>0.7</v>
      </c>
      <c r="D55" s="12" t="s">
        <v>204</v>
      </c>
      <c r="E55" s="16" t="s">
        <v>148</v>
      </c>
      <c r="F55" s="5" t="s">
        <v>205</v>
      </c>
    </row>
    <row r="56" customFormat="false" ht="15" hidden="false" customHeight="false" outlineLevel="0" collapsed="false">
      <c r="A56" s="5" t="s">
        <v>206</v>
      </c>
      <c r="B56" s="12" t="s">
        <v>207</v>
      </c>
      <c r="C56" s="16" t="n">
        <f aca="false">0.98-0.005*$C$23</f>
        <v>0.97</v>
      </c>
      <c r="D56" s="12" t="s">
        <v>82</v>
      </c>
      <c r="E56" s="16" t="s">
        <v>118</v>
      </c>
      <c r="F56" s="5" t="s">
        <v>208</v>
      </c>
    </row>
    <row r="57" customFormat="false" ht="15" hidden="false" customHeight="false" outlineLevel="0" collapsed="false">
      <c r="A57" s="4" t="s">
        <v>209</v>
      </c>
      <c r="B57" s="12" t="s">
        <v>210</v>
      </c>
      <c r="C57" s="16" t="n">
        <f aca="false">2*PI()*$C$23/$C$46</f>
        <v>0.349065850398866</v>
      </c>
      <c r="D57" s="12" t="s">
        <v>211</v>
      </c>
      <c r="E57" s="16" t="s">
        <v>118</v>
      </c>
      <c r="F57" s="5" t="s">
        <v>212</v>
      </c>
    </row>
    <row r="58" customFormat="false" ht="15" hidden="false" customHeight="false" outlineLevel="0" collapsed="false">
      <c r="A58" s="4" t="s">
        <v>213</v>
      </c>
      <c r="B58" s="12" t="s">
        <v>214</v>
      </c>
      <c r="C58" s="23" t="n">
        <f aca="false">SIN($C$47*$C$57/2)/($C$47*SIN($C$57/2))</f>
        <v>0.959795080523939</v>
      </c>
      <c r="D58" s="12" t="s">
        <v>82</v>
      </c>
      <c r="E58" s="16" t="s">
        <v>118</v>
      </c>
      <c r="F58" s="4"/>
    </row>
    <row r="59" customFormat="false" ht="15" hidden="false" customHeight="false" outlineLevel="0" collapsed="false">
      <c r="A59" s="4" t="s">
        <v>215</v>
      </c>
      <c r="B59" s="12" t="s">
        <v>216</v>
      </c>
      <c r="C59" s="23" t="n">
        <f aca="false">SIN($C$51/($C$46/$C$12)*PI()/2)</f>
        <v>0.984807753012208</v>
      </c>
      <c r="D59" s="12" t="s">
        <v>82</v>
      </c>
      <c r="E59" s="16" t="s">
        <v>118</v>
      </c>
      <c r="F59" s="4"/>
    </row>
    <row r="60" customFormat="false" ht="15" hidden="false" customHeight="false" outlineLevel="0" collapsed="false">
      <c r="A60" s="4" t="s">
        <v>217</v>
      </c>
      <c r="B60" s="12" t="s">
        <v>218</v>
      </c>
      <c r="C60" s="23" t="n">
        <f aca="false">$C$58*$C$59</f>
        <v>0.945213636602952</v>
      </c>
      <c r="D60" s="12" t="s">
        <v>82</v>
      </c>
      <c r="E60" s="16" t="s">
        <v>118</v>
      </c>
      <c r="F60" s="4"/>
    </row>
    <row r="61" customFormat="false" ht="15" hidden="false" customHeight="false" outlineLevel="0" collapsed="false">
      <c r="A61" s="4" t="s">
        <v>219</v>
      </c>
      <c r="B61" s="12" t="s">
        <v>220</v>
      </c>
      <c r="C61" s="19" t="n">
        <f aca="false">PI()*$C$37/$C$12</f>
        <v>76.9690200129499</v>
      </c>
      <c r="D61" s="12" t="s">
        <v>147</v>
      </c>
      <c r="E61" s="16" t="s">
        <v>118</v>
      </c>
      <c r="F61" s="4"/>
    </row>
    <row r="62" customFormat="false" ht="15" hidden="false" customHeight="false" outlineLevel="0" collapsed="false">
      <c r="A62" s="4" t="s">
        <v>221</v>
      </c>
      <c r="B62" s="12" t="s">
        <v>222</v>
      </c>
      <c r="C62" s="21" t="n">
        <f aca="false">PI()*$C$37/$C$46</f>
        <v>8.55211333477221</v>
      </c>
      <c r="D62" s="12" t="s">
        <v>147</v>
      </c>
      <c r="E62" s="16" t="s">
        <v>118</v>
      </c>
      <c r="F62" s="4"/>
    </row>
    <row r="63" customFormat="false" ht="15" hidden="false" customHeight="false" outlineLevel="0" collapsed="false">
      <c r="A63" s="4" t="s">
        <v>223</v>
      </c>
      <c r="B63" s="12" t="s">
        <v>224</v>
      </c>
      <c r="C63" s="19" t="n">
        <f aca="false">$C$56*$C$26</f>
        <v>212.811309223296</v>
      </c>
      <c r="D63" s="12" t="s">
        <v>76</v>
      </c>
      <c r="E63" s="16" t="s">
        <v>118</v>
      </c>
      <c r="F63" s="4"/>
    </row>
    <row r="64" customFormat="false" ht="15" hidden="false" customHeight="false" outlineLevel="0" collapsed="false">
      <c r="A64" s="4" t="s">
        <v>225</v>
      </c>
      <c r="B64" s="12" t="s">
        <v>226</v>
      </c>
      <c r="C64" s="24" t="n">
        <f aca="false">2/PI()*$C$55*$C$61/1000*$C$41/1000</f>
        <v>0.0046305</v>
      </c>
      <c r="D64" s="12" t="s">
        <v>227</v>
      </c>
      <c r="E64" s="16" t="s">
        <v>118</v>
      </c>
      <c r="F64" s="4"/>
    </row>
    <row r="65" customFormat="false" ht="15" hidden="false" customHeight="false" outlineLevel="0" collapsed="false">
      <c r="A65" s="4" t="s">
        <v>228</v>
      </c>
      <c r="B65" s="12" t="s">
        <v>229</v>
      </c>
      <c r="C65" s="19" t="n">
        <f aca="false">$C$63/(4.44*$C$11*$C$60*$C$64)</f>
        <v>182.516703369839</v>
      </c>
      <c r="D65" s="12" t="s">
        <v>230</v>
      </c>
      <c r="E65" s="16" t="s">
        <v>118</v>
      </c>
      <c r="F65" s="4"/>
    </row>
    <row r="66" customFormat="false" ht="15" hidden="false" customHeight="false" outlineLevel="0" collapsed="false">
      <c r="A66" s="4" t="s">
        <v>231</v>
      </c>
      <c r="B66" s="12" t="s">
        <v>82</v>
      </c>
      <c r="C66" s="16" t="n">
        <f aca="false">$C$46/3</f>
        <v>12</v>
      </c>
      <c r="D66" s="16" t="s">
        <v>232</v>
      </c>
      <c r="E66" s="16" t="s">
        <v>118</v>
      </c>
      <c r="F66" s="4"/>
    </row>
    <row r="67" customFormat="false" ht="15" hidden="false" customHeight="false" outlineLevel="0" collapsed="false">
      <c r="A67" s="4" t="s">
        <v>233</v>
      </c>
      <c r="B67" s="12" t="s">
        <v>234</v>
      </c>
      <c r="C67" s="16" t="n">
        <f aca="false">ROUND($C$65*$C$52/$C$66,0)</f>
        <v>15</v>
      </c>
      <c r="D67" s="12" t="s">
        <v>230</v>
      </c>
      <c r="E67" s="16" t="s">
        <v>118</v>
      </c>
      <c r="F67" s="4"/>
    </row>
    <row r="68" customFormat="false" ht="15" hidden="false" customHeight="false" outlineLevel="0" collapsed="false">
      <c r="A68" s="4" t="s">
        <v>235</v>
      </c>
      <c r="B68" s="12" t="s">
        <v>229</v>
      </c>
      <c r="C68" s="16" t="n">
        <f aca="false">$C$67*$C$66/$C$52</f>
        <v>180</v>
      </c>
      <c r="D68" s="12" t="s">
        <v>230</v>
      </c>
      <c r="E68" s="16" t="s">
        <v>118</v>
      </c>
      <c r="F68" s="4"/>
    </row>
    <row r="69" customFormat="false" ht="15" hidden="false" customHeight="false" outlineLevel="0" collapsed="false">
      <c r="A69" s="4" t="s">
        <v>236</v>
      </c>
      <c r="B69" s="12" t="s">
        <v>237</v>
      </c>
      <c r="C69" s="16" t="n">
        <f aca="false">$C$50*$C$67</f>
        <v>30</v>
      </c>
      <c r="D69" s="16" t="s">
        <v>238</v>
      </c>
      <c r="E69" s="16" t="s">
        <v>118</v>
      </c>
      <c r="F69" s="4"/>
    </row>
    <row r="70" customFormat="false" ht="15" hidden="false" customHeight="false" outlineLevel="0" collapsed="false">
      <c r="A70" s="4" t="s">
        <v>239</v>
      </c>
      <c r="B70" s="12" t="s">
        <v>203</v>
      </c>
      <c r="C70" s="23" t="n">
        <f aca="false">$C$55*$C$65/$C$68</f>
        <v>0.709787179771595</v>
      </c>
      <c r="D70" s="12" t="s">
        <v>204</v>
      </c>
      <c r="E70" s="16" t="s">
        <v>118</v>
      </c>
      <c r="F70" s="4"/>
    </row>
    <row r="71" customFormat="false" ht="15" hidden="false" customHeight="false" outlineLevel="0" collapsed="false">
      <c r="A71" s="4" t="s">
        <v>240</v>
      </c>
      <c r="B71" s="12" t="s">
        <v>226</v>
      </c>
      <c r="C71" s="24" t="n">
        <f aca="false">$C$64*$C$65/$C$68</f>
        <v>0.0046952421941891</v>
      </c>
      <c r="D71" s="12" t="s">
        <v>227</v>
      </c>
      <c r="E71" s="16" t="s">
        <v>118</v>
      </c>
      <c r="F71" s="4"/>
    </row>
    <row r="72" customFormat="false" ht="15" hidden="false" customHeight="false" outlineLevel="0" collapsed="false">
      <c r="A72" s="4" t="s">
        <v>241</v>
      </c>
      <c r="B72" s="12" t="s">
        <v>79</v>
      </c>
      <c r="C72" s="19" t="n">
        <f aca="false">2*3*$C$68*$C$8/(PI()*$C$37/1000)/1000</f>
        <v>16.5923900263396</v>
      </c>
      <c r="D72" s="12" t="s">
        <v>242</v>
      </c>
      <c r="E72" s="16" t="s">
        <v>118</v>
      </c>
      <c r="F72" s="4" t="s">
        <v>243</v>
      </c>
    </row>
    <row r="73" customFormat="false" ht="15" hidden="false" customHeight="false" outlineLevel="0" collapsed="false">
      <c r="A73" s="13" t="s">
        <v>244</v>
      </c>
      <c r="B73" s="14"/>
      <c r="C73" s="14"/>
      <c r="D73" s="14"/>
      <c r="E73" s="14"/>
      <c r="F73" s="14"/>
    </row>
    <row r="74" customFormat="false" ht="15" hidden="false" customHeight="false" outlineLevel="0" collapsed="false">
      <c r="A74" s="4" t="s">
        <v>245</v>
      </c>
      <c r="B74" s="12" t="s">
        <v>246</v>
      </c>
      <c r="C74" s="22" t="n">
        <v>1.6</v>
      </c>
      <c r="D74" s="12" t="s">
        <v>204</v>
      </c>
      <c r="E74" s="16" t="s">
        <v>148</v>
      </c>
      <c r="F74" s="5" t="s">
        <v>247</v>
      </c>
    </row>
    <row r="75" customFormat="false" ht="15" hidden="false" customHeight="false" outlineLevel="0" collapsed="false">
      <c r="A75" s="4" t="s">
        <v>248</v>
      </c>
      <c r="B75" s="12" t="s">
        <v>249</v>
      </c>
      <c r="C75" s="22" t="n">
        <v>1.45</v>
      </c>
      <c r="D75" s="12" t="s">
        <v>204</v>
      </c>
      <c r="E75" s="16" t="s">
        <v>148</v>
      </c>
      <c r="F75" s="5" t="s">
        <v>250</v>
      </c>
    </row>
    <row r="76" customFormat="false" ht="15" hidden="false" customHeight="false" outlineLevel="0" collapsed="false">
      <c r="A76" s="4" t="s">
        <v>251</v>
      </c>
      <c r="B76" s="12" t="s">
        <v>252</v>
      </c>
      <c r="C76" s="22" t="n">
        <v>0.5</v>
      </c>
      <c r="D76" s="12" t="s">
        <v>147</v>
      </c>
      <c r="E76" s="16" t="s">
        <v>148</v>
      </c>
      <c r="F76" s="4"/>
    </row>
    <row r="77" customFormat="false" ht="15" hidden="false" customHeight="false" outlineLevel="0" collapsed="false">
      <c r="A77" s="4" t="s">
        <v>253</v>
      </c>
      <c r="B77" s="12" t="s">
        <v>254</v>
      </c>
      <c r="C77" s="22" t="n">
        <v>1</v>
      </c>
      <c r="D77" s="12" t="s">
        <v>147</v>
      </c>
      <c r="E77" s="16" t="s">
        <v>148</v>
      </c>
      <c r="F77" s="4"/>
    </row>
    <row r="78" customFormat="false" ht="15" hidden="false" customHeight="false" outlineLevel="0" collapsed="false">
      <c r="A78" s="4" t="s">
        <v>255</v>
      </c>
      <c r="B78" s="12" t="s">
        <v>256</v>
      </c>
      <c r="C78" s="22" t="n">
        <v>2.5</v>
      </c>
      <c r="D78" s="12" t="s">
        <v>147</v>
      </c>
      <c r="E78" s="16" t="s">
        <v>148</v>
      </c>
      <c r="F78" s="5" t="s">
        <v>257</v>
      </c>
    </row>
    <row r="79" customFormat="false" ht="15" hidden="false" customHeight="false" outlineLevel="0" collapsed="false">
      <c r="A79" s="4" t="s">
        <v>258</v>
      </c>
      <c r="B79" s="12" t="s">
        <v>82</v>
      </c>
      <c r="C79" s="22" t="n">
        <v>0.42</v>
      </c>
      <c r="D79" s="12" t="s">
        <v>82</v>
      </c>
      <c r="E79" s="16" t="s">
        <v>148</v>
      </c>
      <c r="F79" s="4" t="s">
        <v>259</v>
      </c>
    </row>
    <row r="80" customFormat="false" ht="15" hidden="false" customHeight="false" outlineLevel="0" collapsed="false">
      <c r="A80" s="4" t="s">
        <v>260</v>
      </c>
      <c r="B80" s="12" t="s">
        <v>261</v>
      </c>
      <c r="C80" s="21" t="n">
        <f aca="false">$C$70*$C$62/($C$42*$C$74)</f>
        <v>3.95194036782228</v>
      </c>
      <c r="D80" s="12" t="s">
        <v>147</v>
      </c>
      <c r="E80" s="16" t="s">
        <v>118</v>
      </c>
      <c r="F80" s="4"/>
    </row>
    <row r="81" customFormat="false" ht="15" hidden="false" customHeight="false" outlineLevel="0" collapsed="false">
      <c r="A81" s="4" t="s">
        <v>262</v>
      </c>
      <c r="B81" s="12" t="s">
        <v>263</v>
      </c>
      <c r="C81" s="21" t="n">
        <f aca="false">$C$71/(2*$C$75*$C$42*$C$41/1000)*1000</f>
        <v>12.4926622876466</v>
      </c>
      <c r="D81" s="12" t="s">
        <v>147</v>
      </c>
      <c r="E81" s="16" t="s">
        <v>118</v>
      </c>
      <c r="F81" s="4"/>
    </row>
    <row r="82" customFormat="false" ht="15" hidden="false" customHeight="false" outlineLevel="0" collapsed="false">
      <c r="A82" s="4" t="s">
        <v>264</v>
      </c>
      <c r="B82" s="12" t="s">
        <v>265</v>
      </c>
      <c r="C82" s="21" t="n">
        <f aca="false">($C$35-$C$37)/2-$C$81</f>
        <v>16.0073377123534</v>
      </c>
      <c r="D82" s="12" t="s">
        <v>147</v>
      </c>
      <c r="E82" s="16" t="s">
        <v>118</v>
      </c>
      <c r="F82" s="4"/>
    </row>
    <row r="83" customFormat="false" ht="15" hidden="false" customHeight="false" outlineLevel="0" collapsed="false">
      <c r="A83" s="4" t="s">
        <v>266</v>
      </c>
      <c r="B83" s="12" t="s">
        <v>267</v>
      </c>
      <c r="C83" s="19" t="n">
        <f aca="false">$C$37+2*($C$76+$C$77)</f>
        <v>101</v>
      </c>
      <c r="D83" s="12" t="s">
        <v>147</v>
      </c>
      <c r="E83" s="16" t="s">
        <v>118</v>
      </c>
      <c r="F83" s="4"/>
    </row>
    <row r="84" customFormat="false" ht="15" hidden="false" customHeight="false" outlineLevel="0" collapsed="false">
      <c r="A84" s="4" t="s">
        <v>268</v>
      </c>
      <c r="B84" s="12" t="s">
        <v>269</v>
      </c>
      <c r="C84" s="19" t="n">
        <f aca="false">$C$37+2*$C$82</f>
        <v>130.014675424707</v>
      </c>
      <c r="D84" s="12" t="s">
        <v>147</v>
      </c>
      <c r="E84" s="16" t="s">
        <v>118</v>
      </c>
      <c r="F84" s="4"/>
    </row>
    <row r="85" customFormat="false" ht="15" hidden="false" customHeight="false" outlineLevel="0" collapsed="false">
      <c r="A85" s="4" t="s">
        <v>270</v>
      </c>
      <c r="B85" s="12" t="s">
        <v>271</v>
      </c>
      <c r="C85" s="21" t="n">
        <f aca="false">PI()*$C$83/$C$46-$C$80</f>
        <v>4.86197235474909</v>
      </c>
      <c r="D85" s="12" t="s">
        <v>147</v>
      </c>
      <c r="E85" s="16" t="s">
        <v>118</v>
      </c>
      <c r="F85" s="4"/>
    </row>
    <row r="86" customFormat="false" ht="15" hidden="false" customHeight="false" outlineLevel="0" collapsed="false">
      <c r="A86" s="4" t="s">
        <v>272</v>
      </c>
      <c r="B86" s="12" t="s">
        <v>273</v>
      </c>
      <c r="C86" s="21" t="n">
        <f aca="false">PI()*$C$84/$C$46-$C$80</f>
        <v>7.39398044254217</v>
      </c>
      <c r="D86" s="12" t="s">
        <v>147</v>
      </c>
      <c r="E86" s="16" t="s">
        <v>118</v>
      </c>
      <c r="F86" s="4"/>
    </row>
    <row r="87" customFormat="false" ht="15" hidden="false" customHeight="false" outlineLevel="0" collapsed="false">
      <c r="A87" s="4" t="s">
        <v>274</v>
      </c>
      <c r="B87" s="12" t="s">
        <v>275</v>
      </c>
      <c r="C87" s="21" t="n">
        <f aca="false">$C$82-$C$76-$C$77</f>
        <v>14.5073377123534</v>
      </c>
      <c r="D87" s="12" t="s">
        <v>147</v>
      </c>
      <c r="E87" s="16" t="s">
        <v>118</v>
      </c>
      <c r="F87" s="4"/>
    </row>
    <row r="88" customFormat="false" ht="15" hidden="false" customHeight="false" outlineLevel="0" collapsed="false">
      <c r="A88" s="5" t="s">
        <v>276</v>
      </c>
      <c r="B88" s="12" t="s">
        <v>277</v>
      </c>
      <c r="C88" s="21" t="n">
        <f aca="false">$C$87-$C$86/2</f>
        <v>10.8103474910823</v>
      </c>
      <c r="D88" s="12" t="s">
        <v>147</v>
      </c>
      <c r="E88" s="16" t="s">
        <v>118</v>
      </c>
      <c r="F88" s="4"/>
    </row>
    <row r="89" customFormat="false" ht="15" hidden="false" customHeight="false" outlineLevel="0" collapsed="false">
      <c r="A89" s="4" t="s">
        <v>278</v>
      </c>
      <c r="B89" s="12" t="s">
        <v>279</v>
      </c>
      <c r="C89" s="19" t="n">
        <f aca="false">($C$85+$C$86)/2*($C$87-$C$86/2)+PI()*$C$86^2/8</f>
        <v>87.7147848844603</v>
      </c>
      <c r="D89" s="12" t="s">
        <v>280</v>
      </c>
      <c r="E89" s="16" t="s">
        <v>118</v>
      </c>
      <c r="F89" s="4"/>
    </row>
    <row r="90" customFormat="false" ht="15" hidden="false" customHeight="false" outlineLevel="0" collapsed="false">
      <c r="A90" s="4" t="s">
        <v>281</v>
      </c>
      <c r="B90" s="12" t="s">
        <v>282</v>
      </c>
      <c r="C90" s="23" t="n">
        <f aca="false">$C$53*PI()*$C$54^2/4</f>
        <v>1.27234502470387</v>
      </c>
      <c r="D90" s="12" t="s">
        <v>280</v>
      </c>
      <c r="E90" s="16" t="s">
        <v>118</v>
      </c>
      <c r="F90" s="4"/>
    </row>
    <row r="91" customFormat="false" ht="15" hidden="false" customHeight="false" outlineLevel="0" collapsed="false">
      <c r="A91" s="4" t="s">
        <v>283</v>
      </c>
      <c r="B91" s="12" t="s">
        <v>82</v>
      </c>
      <c r="C91" s="23" t="n">
        <f aca="false">$C$69*$C$90/$C$89</f>
        <v>0.435164388664861</v>
      </c>
      <c r="D91" s="12" t="s">
        <v>82</v>
      </c>
      <c r="E91" s="16" t="s">
        <v>118</v>
      </c>
      <c r="F91" s="5" t="s">
        <v>284</v>
      </c>
    </row>
    <row r="92" customFormat="false" ht="15" hidden="false" customHeight="false" outlineLevel="0" collapsed="false">
      <c r="A92" s="4" t="s">
        <v>285</v>
      </c>
      <c r="B92" s="12" t="s">
        <v>142</v>
      </c>
      <c r="C92" s="21" t="n">
        <f aca="false">$C$8/($C$52*$C$90)</f>
        <v>3.71754509049217</v>
      </c>
      <c r="D92" s="12" t="s">
        <v>286</v>
      </c>
      <c r="E92" s="16" t="s">
        <v>118</v>
      </c>
      <c r="F92" s="5" t="s">
        <v>287</v>
      </c>
    </row>
    <row r="93" customFormat="false" ht="15" hidden="false" customHeight="false" outlineLevel="0" collapsed="false">
      <c r="A93" s="13" t="s">
        <v>288</v>
      </c>
      <c r="B93" s="14"/>
      <c r="C93" s="14"/>
      <c r="D93" s="14"/>
      <c r="E93" s="14"/>
      <c r="F93" s="14"/>
    </row>
    <row r="94" customFormat="false" ht="15" hidden="false" customHeight="false" outlineLevel="0" collapsed="false">
      <c r="A94" s="4" t="s">
        <v>289</v>
      </c>
      <c r="B94" s="12" t="s">
        <v>82</v>
      </c>
      <c r="C94" s="22" t="n">
        <v>95</v>
      </c>
      <c r="D94" s="12" t="s">
        <v>290</v>
      </c>
      <c r="E94" s="16" t="s">
        <v>148</v>
      </c>
      <c r="F94" s="5" t="s">
        <v>291</v>
      </c>
    </row>
    <row r="95" customFormat="false" ht="15" hidden="false" customHeight="false" outlineLevel="0" collapsed="false">
      <c r="A95" s="4" t="s">
        <v>292</v>
      </c>
      <c r="B95" s="12" t="s">
        <v>293</v>
      </c>
      <c r="C95" s="24" t="n">
        <f aca="false">0.01724*(1+0.00393*($C$94-20))</f>
        <v>0.02232149</v>
      </c>
      <c r="D95" s="12" t="s">
        <v>294</v>
      </c>
      <c r="E95" s="16" t="s">
        <v>118</v>
      </c>
      <c r="F95" s="4"/>
    </row>
    <row r="96" customFormat="false" ht="15" hidden="false" customHeight="false" outlineLevel="0" collapsed="false">
      <c r="A96" s="4" t="s">
        <v>295</v>
      </c>
      <c r="B96" s="12" t="s">
        <v>296</v>
      </c>
      <c r="C96" s="24" t="n">
        <f aca="false">0.0283*(1+0.004*($C$94-20))</f>
        <v>0.03679</v>
      </c>
      <c r="D96" s="12" t="s">
        <v>294</v>
      </c>
      <c r="E96" s="16" t="s">
        <v>118</v>
      </c>
      <c r="F96" s="4"/>
    </row>
    <row r="97" customFormat="false" ht="15" hidden="false" customHeight="false" outlineLevel="0" collapsed="false">
      <c r="A97" s="4" t="s">
        <v>297</v>
      </c>
      <c r="B97" s="12" t="s">
        <v>298</v>
      </c>
      <c r="C97" s="22" t="n">
        <v>15</v>
      </c>
      <c r="D97" s="12" t="s">
        <v>147</v>
      </c>
      <c r="E97" s="16" t="s">
        <v>148</v>
      </c>
      <c r="F97" s="5" t="s">
        <v>299</v>
      </c>
    </row>
    <row r="98" customFormat="false" ht="15" hidden="false" customHeight="false" outlineLevel="0" collapsed="false">
      <c r="A98" s="4" t="s">
        <v>300</v>
      </c>
      <c r="B98" s="12" t="s">
        <v>301</v>
      </c>
      <c r="C98" s="19" t="n">
        <f aca="false">$C$37+$C$82</f>
        <v>114.007337712353</v>
      </c>
      <c r="D98" s="12" t="s">
        <v>147</v>
      </c>
      <c r="E98" s="16" t="s">
        <v>118</v>
      </c>
      <c r="F98" s="4"/>
    </row>
    <row r="99" customFormat="false" ht="15" hidden="false" customHeight="false" outlineLevel="0" collapsed="false">
      <c r="A99" s="4" t="s">
        <v>302</v>
      </c>
      <c r="B99" s="12" t="s">
        <v>72</v>
      </c>
      <c r="C99" s="19" t="n">
        <f aca="false">$C$51*PI()*$C$98/$C$46</f>
        <v>79.5921365805467</v>
      </c>
      <c r="D99" s="12" t="s">
        <v>147</v>
      </c>
      <c r="E99" s="16" t="s">
        <v>118</v>
      </c>
      <c r="F99" s="4"/>
    </row>
    <row r="100" customFormat="false" ht="15" hidden="false" customHeight="false" outlineLevel="0" collapsed="false">
      <c r="A100" s="4" t="s">
        <v>303</v>
      </c>
      <c r="B100" s="12" t="s">
        <v>304</v>
      </c>
      <c r="C100" s="19" t="n">
        <f aca="false">1.15*$C$99+2*$C$97</f>
        <v>121.530957067629</v>
      </c>
      <c r="D100" s="12" t="s">
        <v>147</v>
      </c>
      <c r="E100" s="16" t="s">
        <v>118</v>
      </c>
      <c r="F100" s="4"/>
    </row>
    <row r="101" customFormat="false" ht="15" hidden="false" customHeight="false" outlineLevel="0" collapsed="false">
      <c r="A101" s="4" t="s">
        <v>305</v>
      </c>
      <c r="B101" s="12" t="s">
        <v>82</v>
      </c>
      <c r="C101" s="25" t="n">
        <f aca="false">0.4*$C$61+$C$97</f>
        <v>45.78760800518</v>
      </c>
      <c r="D101" s="12" t="s">
        <v>147</v>
      </c>
      <c r="E101" s="16" t="s">
        <v>165</v>
      </c>
      <c r="F101" s="5" t="s">
        <v>306</v>
      </c>
    </row>
    <row r="102" customFormat="false" ht="15" hidden="false" customHeight="false" outlineLevel="0" collapsed="false">
      <c r="A102" s="5" t="s">
        <v>307</v>
      </c>
      <c r="B102" s="12" t="s">
        <v>308</v>
      </c>
      <c r="C102" s="19" t="n">
        <f aca="false">2*$C$41+2*$C$100</f>
        <v>513.061914135257</v>
      </c>
      <c r="D102" s="12" t="s">
        <v>147</v>
      </c>
      <c r="E102" s="16" t="s">
        <v>118</v>
      </c>
      <c r="F102" s="4"/>
    </row>
    <row r="103" customFormat="false" ht="15" hidden="false" customHeight="false" outlineLevel="0" collapsed="false">
      <c r="A103" s="4" t="s">
        <v>309</v>
      </c>
      <c r="B103" s="12" t="s">
        <v>310</v>
      </c>
      <c r="C103" s="23" t="n">
        <f aca="false">$C$95*$C$68*$C$102/1000/($C$52*$C$90)</f>
        <v>1.62016992986236</v>
      </c>
      <c r="D103" s="12" t="s">
        <v>140</v>
      </c>
      <c r="E103" s="16" t="s">
        <v>118</v>
      </c>
      <c r="F103" s="4"/>
    </row>
    <row r="104" customFormat="false" ht="15" hidden="false" customHeight="false" outlineLevel="0" collapsed="false">
      <c r="A104" s="4" t="s">
        <v>311</v>
      </c>
      <c r="B104" s="12" t="s">
        <v>312</v>
      </c>
      <c r="C104" s="19" t="n">
        <f aca="false">3*$C$8^2*$C$103</f>
        <v>108.743699471453</v>
      </c>
      <c r="D104" s="12" t="s">
        <v>72</v>
      </c>
      <c r="E104" s="16" t="s">
        <v>118</v>
      </c>
      <c r="F104" s="4"/>
    </row>
    <row r="105" customFormat="false" ht="15" hidden="false" customHeight="false" outlineLevel="0" collapsed="false">
      <c r="A105" s="4" t="s">
        <v>313</v>
      </c>
      <c r="B105" s="12" t="s">
        <v>314</v>
      </c>
      <c r="C105" s="22" t="n">
        <v>12</v>
      </c>
      <c r="D105" s="12" t="s">
        <v>72</v>
      </c>
      <c r="E105" s="16" t="s">
        <v>165</v>
      </c>
      <c r="F105" s="5" t="s">
        <v>315</v>
      </c>
    </row>
    <row r="106" customFormat="false" ht="15" hidden="false" customHeight="false" outlineLevel="0" collapsed="false">
      <c r="A106" s="4" t="s">
        <v>316</v>
      </c>
      <c r="B106" s="12" t="s">
        <v>82</v>
      </c>
      <c r="C106" s="22" t="n">
        <v>0.01</v>
      </c>
      <c r="D106" s="12" t="s">
        <v>82</v>
      </c>
      <c r="E106" s="16" t="s">
        <v>165</v>
      </c>
      <c r="F106" s="5" t="s">
        <v>317</v>
      </c>
    </row>
    <row r="107" customFormat="false" ht="15" hidden="false" customHeight="false" outlineLevel="0" collapsed="false">
      <c r="A107" s="4" t="s">
        <v>318</v>
      </c>
      <c r="B107" s="12" t="s">
        <v>319</v>
      </c>
      <c r="C107" s="19" t="n">
        <f aca="false">$C$106*$C$27</f>
        <v>24.5810055865922</v>
      </c>
      <c r="D107" s="12" t="s">
        <v>72</v>
      </c>
      <c r="E107" s="16" t="s">
        <v>118</v>
      </c>
      <c r="F107" s="4"/>
    </row>
    <row r="108" customFormat="false" ht="15" hidden="false" customHeight="false" outlineLevel="0" collapsed="false">
      <c r="A108" s="4" t="s">
        <v>320</v>
      </c>
      <c r="B108" s="12" t="s">
        <v>321</v>
      </c>
      <c r="C108" s="20" t="n">
        <f aca="false">($C$6+$C$105+$C$107)/(1-$C$25)</f>
        <v>2287.4123920772</v>
      </c>
      <c r="D108" s="12" t="s">
        <v>72</v>
      </c>
      <c r="E108" s="16" t="s">
        <v>118</v>
      </c>
      <c r="F108" s="4"/>
    </row>
    <row r="109" customFormat="false" ht="15" hidden="false" customHeight="false" outlineLevel="0" collapsed="false">
      <c r="A109" s="4" t="s">
        <v>322</v>
      </c>
      <c r="B109" s="12" t="s">
        <v>323</v>
      </c>
      <c r="C109" s="19" t="n">
        <f aca="false">$C$25*$C$108</f>
        <v>50.8313864906044</v>
      </c>
      <c r="D109" s="12" t="s">
        <v>72</v>
      </c>
      <c r="E109" s="16" t="s">
        <v>118</v>
      </c>
      <c r="F109" s="4"/>
    </row>
    <row r="110" customFormat="false" ht="15" hidden="false" customHeight="false" outlineLevel="0" collapsed="false">
      <c r="A110" s="4" t="s">
        <v>324</v>
      </c>
      <c r="B110" s="12" t="s">
        <v>82</v>
      </c>
      <c r="C110" s="22" t="n">
        <v>4</v>
      </c>
      <c r="D110" s="12" t="s">
        <v>325</v>
      </c>
      <c r="E110" s="16" t="s">
        <v>148</v>
      </c>
      <c r="F110" s="5" t="s">
        <v>326</v>
      </c>
    </row>
    <row r="111" customFormat="false" ht="15" hidden="false" customHeight="false" outlineLevel="0" collapsed="false">
      <c r="A111" s="5" t="s">
        <v>327</v>
      </c>
      <c r="B111" s="12" t="s">
        <v>82</v>
      </c>
      <c r="C111" s="22" t="n">
        <v>1.28</v>
      </c>
      <c r="D111" s="12" t="s">
        <v>82</v>
      </c>
      <c r="E111" s="16" t="s">
        <v>148</v>
      </c>
      <c r="F111" s="4"/>
    </row>
    <row r="112" customFormat="false" ht="15" hidden="false" customHeight="false" outlineLevel="0" collapsed="false">
      <c r="A112" s="4" t="s">
        <v>328</v>
      </c>
      <c r="B112" s="12" t="s">
        <v>82</v>
      </c>
      <c r="C112" s="22" t="n">
        <v>1.4</v>
      </c>
      <c r="D112" s="12" t="s">
        <v>82</v>
      </c>
      <c r="E112" s="16" t="s">
        <v>148</v>
      </c>
      <c r="F112" s="4"/>
    </row>
    <row r="113" customFormat="false" ht="15" hidden="false" customHeight="false" outlineLevel="0" collapsed="false">
      <c r="A113" s="4" t="s">
        <v>329</v>
      </c>
      <c r="B113" s="12" t="s">
        <v>82</v>
      </c>
      <c r="C113" s="22" t="n">
        <v>1.8</v>
      </c>
      <c r="D113" s="12" t="s">
        <v>82</v>
      </c>
      <c r="E113" s="16" t="s">
        <v>148</v>
      </c>
      <c r="F113" s="4"/>
    </row>
    <row r="114" customFormat="false" ht="15" hidden="false" customHeight="false" outlineLevel="0" collapsed="false">
      <c r="A114" s="4" t="s">
        <v>330</v>
      </c>
      <c r="B114" s="12" t="s">
        <v>82</v>
      </c>
      <c r="C114" s="20" t="n">
        <f aca="false">PI()/4*($C$35^2-$C$84^2)</f>
        <v>5592.96497163805</v>
      </c>
      <c r="D114" s="12" t="s">
        <v>280</v>
      </c>
      <c r="E114" s="16" t="s">
        <v>118</v>
      </c>
      <c r="F114" s="4"/>
    </row>
    <row r="115" customFormat="false" ht="15" hidden="false" customHeight="false" outlineLevel="0" collapsed="false">
      <c r="A115" s="4" t="s">
        <v>331</v>
      </c>
      <c r="B115" s="12" t="s">
        <v>82</v>
      </c>
      <c r="C115" s="20" t="n">
        <f aca="false">PI()/4*($C$35^2-$C$37^2)-$C$114-$C$46*$C$89</f>
        <v>2575.52968687598</v>
      </c>
      <c r="D115" s="12" t="s">
        <v>280</v>
      </c>
      <c r="E115" s="16" t="s">
        <v>118</v>
      </c>
      <c r="F115" s="4"/>
    </row>
    <row r="116" customFormat="false" ht="15" hidden="false" customHeight="false" outlineLevel="0" collapsed="false">
      <c r="A116" s="4" t="s">
        <v>332</v>
      </c>
      <c r="B116" s="12" t="s">
        <v>82</v>
      </c>
      <c r="C116" s="21" t="n">
        <f aca="false">$C$114*$C$41*7650*$C$42/1000000000</f>
        <v>5.54508919148083</v>
      </c>
      <c r="D116" s="12" t="s">
        <v>108</v>
      </c>
      <c r="E116" s="16" t="s">
        <v>118</v>
      </c>
      <c r="F116" s="4"/>
    </row>
    <row r="117" customFormat="false" ht="15" hidden="false" customHeight="false" outlineLevel="0" collapsed="false">
      <c r="A117" s="4" t="s">
        <v>333</v>
      </c>
      <c r="B117" s="12" t="s">
        <v>82</v>
      </c>
      <c r="C117" s="21" t="n">
        <f aca="false">$C$115*$C$41*7650*$C$42/1000000000</f>
        <v>2.55348315275632</v>
      </c>
      <c r="D117" s="12" t="s">
        <v>108</v>
      </c>
      <c r="E117" s="16" t="s">
        <v>118</v>
      </c>
      <c r="F117" s="4"/>
    </row>
    <row r="118" customFormat="false" ht="15" hidden="false" customHeight="false" outlineLevel="0" collapsed="false">
      <c r="A118" s="4" t="s">
        <v>334</v>
      </c>
      <c r="B118" s="12" t="s">
        <v>335</v>
      </c>
      <c r="C118" s="19" t="n">
        <f aca="false">$C$112*$C$116*$C$110*$C$111*($C$75/1.5)^2+$C$113*$C$117*$C$110*$C$111*($C$74/1.5)^2</f>
        <v>63.9167610948834</v>
      </c>
      <c r="D118" s="12" t="s">
        <v>72</v>
      </c>
      <c r="E118" s="16" t="s">
        <v>118</v>
      </c>
      <c r="F118" s="4"/>
    </row>
    <row r="119" customFormat="false" ht="15" hidden="false" customHeight="false" outlineLevel="0" collapsed="false">
      <c r="A119" s="4" t="s">
        <v>336</v>
      </c>
      <c r="B119" s="12" t="s">
        <v>337</v>
      </c>
      <c r="C119" s="19" t="n">
        <f aca="false">$C$104+$C$109+$C$118+$C$105+$C$107</f>
        <v>260.072852643533</v>
      </c>
      <c r="D119" s="12" t="s">
        <v>72</v>
      </c>
      <c r="E119" s="16" t="s">
        <v>118</v>
      </c>
      <c r="F119" s="4"/>
    </row>
    <row r="120" customFormat="false" ht="15" hidden="false" customHeight="false" outlineLevel="0" collapsed="false">
      <c r="A120" s="4" t="s">
        <v>338</v>
      </c>
      <c r="B120" s="12" t="s">
        <v>339</v>
      </c>
      <c r="C120" s="18" t="n">
        <f aca="false">$C$6/($C$6+$C$119)</f>
        <v>0.894282459007641</v>
      </c>
      <c r="D120" s="12" t="s">
        <v>82</v>
      </c>
      <c r="E120" s="16" t="s">
        <v>118</v>
      </c>
      <c r="F120" s="4" t="s">
        <v>340</v>
      </c>
    </row>
    <row r="121" customFormat="false" ht="15" hidden="false" customHeight="false" outlineLevel="0" collapsed="false">
      <c r="A121" s="4" t="s">
        <v>341</v>
      </c>
      <c r="B121" s="12" t="s">
        <v>342</v>
      </c>
      <c r="C121" s="18" t="n">
        <f aca="false">$C$120-$C$9</f>
        <v>-0.0007175409923591</v>
      </c>
      <c r="D121" s="12" t="s">
        <v>343</v>
      </c>
      <c r="E121" s="16" t="s">
        <v>118</v>
      </c>
      <c r="F121" s="5" t="s">
        <v>344</v>
      </c>
    </row>
    <row r="122" customFormat="false" ht="15" hidden="false" customHeight="false" outlineLevel="0" collapsed="false">
      <c r="A122" s="13" t="s">
        <v>345</v>
      </c>
      <c r="B122" s="14"/>
      <c r="C122" s="14"/>
      <c r="D122" s="14"/>
      <c r="E122" s="14"/>
      <c r="F122" s="14"/>
    </row>
    <row r="123" customFormat="false" ht="15" hidden="false" customHeight="false" outlineLevel="0" collapsed="false">
      <c r="A123" s="4" t="s">
        <v>346</v>
      </c>
      <c r="B123" s="12" t="s">
        <v>347</v>
      </c>
      <c r="C123" s="21" t="n">
        <f aca="false">PI()*$C$40/$C$48</f>
        <v>10.9282544449874</v>
      </c>
      <c r="D123" s="12" t="s">
        <v>147</v>
      </c>
      <c r="E123" s="16" t="s">
        <v>118</v>
      </c>
      <c r="F123" s="4"/>
    </row>
    <row r="124" customFormat="false" ht="15" hidden="false" customHeight="false" outlineLevel="0" collapsed="false">
      <c r="A124" s="4" t="s">
        <v>348</v>
      </c>
      <c r="B124" s="12" t="s">
        <v>349</v>
      </c>
      <c r="C124" s="16" t="n">
        <f aca="false">0.8*$C$10+0.2</f>
        <v>0.832</v>
      </c>
      <c r="D124" s="12" t="s">
        <v>82</v>
      </c>
      <c r="E124" s="16" t="s">
        <v>118</v>
      </c>
      <c r="F124" s="5" t="s">
        <v>350</v>
      </c>
    </row>
    <row r="125" customFormat="false" ht="15" hidden="false" customHeight="false" outlineLevel="0" collapsed="false">
      <c r="A125" s="4" t="s">
        <v>351</v>
      </c>
      <c r="B125" s="12" t="s">
        <v>352</v>
      </c>
      <c r="C125" s="19" t="n">
        <f aca="false">$C$124*2*3*$C$68*$C$60*$C$8/$C$48</f>
        <v>143.476300424898</v>
      </c>
      <c r="D125" s="12" t="s">
        <v>79</v>
      </c>
      <c r="E125" s="16" t="s">
        <v>118</v>
      </c>
      <c r="F125" s="4"/>
    </row>
    <row r="126" customFormat="false" ht="15" hidden="false" customHeight="false" outlineLevel="0" collapsed="false">
      <c r="A126" s="4" t="s">
        <v>353</v>
      </c>
      <c r="B126" s="12" t="s">
        <v>354</v>
      </c>
      <c r="C126" s="19" t="n">
        <f aca="false">$C$125/(2*SIN(PI()*$C$23/$C$48))</f>
        <v>322.388320671585</v>
      </c>
      <c r="D126" s="12" t="s">
        <v>79</v>
      </c>
      <c r="E126" s="16" t="s">
        <v>118</v>
      </c>
      <c r="F126" s="4"/>
    </row>
    <row r="127" customFormat="false" ht="15" hidden="false" customHeight="false" outlineLevel="0" collapsed="false">
      <c r="A127" s="4" t="s">
        <v>355</v>
      </c>
      <c r="B127" s="12" t="s">
        <v>356</v>
      </c>
      <c r="C127" s="19" t="n">
        <f aca="false">$C$109/($C$48*$C$125^2)*1000000</f>
        <v>88.1888308319835</v>
      </c>
      <c r="D127" s="12" t="s">
        <v>357</v>
      </c>
      <c r="E127" s="16" t="s">
        <v>118</v>
      </c>
      <c r="F127" s="4"/>
    </row>
    <row r="128" customFormat="false" ht="15" hidden="false" customHeight="false" outlineLevel="0" collapsed="false">
      <c r="A128" s="4" t="s">
        <v>358</v>
      </c>
      <c r="B128" s="12" t="s">
        <v>359</v>
      </c>
      <c r="C128" s="22" t="n">
        <v>20</v>
      </c>
      <c r="D128" s="12" t="s">
        <v>147</v>
      </c>
      <c r="E128" s="16" t="s">
        <v>165</v>
      </c>
      <c r="F128" s="4"/>
    </row>
    <row r="129" customFormat="false" ht="15" hidden="false" customHeight="false" outlineLevel="0" collapsed="false">
      <c r="A129" s="4" t="s">
        <v>360</v>
      </c>
      <c r="B129" s="12" t="s">
        <v>361</v>
      </c>
      <c r="C129" s="22" t="n">
        <v>12</v>
      </c>
      <c r="D129" s="12" t="s">
        <v>147</v>
      </c>
      <c r="E129" s="16" t="s">
        <v>165</v>
      </c>
      <c r="F129" s="5" t="s">
        <v>362</v>
      </c>
    </row>
    <row r="130" customFormat="false" ht="15" hidden="false" customHeight="false" outlineLevel="0" collapsed="false">
      <c r="A130" s="4" t="s">
        <v>363</v>
      </c>
      <c r="B130" s="12" t="s">
        <v>364</v>
      </c>
      <c r="C130" s="16" t="n">
        <f aca="false">$C$128*$C$129</f>
        <v>240</v>
      </c>
      <c r="D130" s="12" t="s">
        <v>280</v>
      </c>
      <c r="E130" s="16" t="s">
        <v>118</v>
      </c>
      <c r="F130" s="4"/>
    </row>
    <row r="131" customFormat="false" ht="15" hidden="false" customHeight="false" outlineLevel="0" collapsed="false">
      <c r="A131" s="4" t="s">
        <v>365</v>
      </c>
      <c r="B131" s="12" t="s">
        <v>366</v>
      </c>
      <c r="C131" s="19" t="n">
        <f aca="false">$C$40-$C$128</f>
        <v>77.4</v>
      </c>
      <c r="D131" s="12" t="s">
        <v>147</v>
      </c>
      <c r="E131" s="16" t="s">
        <v>118</v>
      </c>
      <c r="F131" s="4"/>
    </row>
    <row r="132" customFormat="false" ht="15" hidden="false" customHeight="false" outlineLevel="0" collapsed="false">
      <c r="A132" s="4" t="s">
        <v>367</v>
      </c>
      <c r="B132" s="12" t="s">
        <v>368</v>
      </c>
      <c r="C132" s="21" t="n">
        <f aca="false">PI()*$C$131/$C$48</f>
        <v>8.68425969242322</v>
      </c>
      <c r="D132" s="12" t="s">
        <v>147</v>
      </c>
      <c r="E132" s="16" t="s">
        <v>118</v>
      </c>
      <c r="F132" s="4"/>
    </row>
    <row r="133" customFormat="false" ht="15" hidden="false" customHeight="false" outlineLevel="0" collapsed="false">
      <c r="A133" s="4" t="s">
        <v>369</v>
      </c>
      <c r="B133" s="12" t="s">
        <v>370</v>
      </c>
      <c r="C133" s="21" t="n">
        <f aca="false">$C$96*$C$132/1000/$C$130*1000000</f>
        <v>1.33122464201771</v>
      </c>
      <c r="D133" s="12" t="s">
        <v>357</v>
      </c>
      <c r="E133" s="16" t="s">
        <v>118</v>
      </c>
      <c r="F133" s="4"/>
    </row>
    <row r="134" customFormat="false" ht="15" hidden="false" customHeight="false" outlineLevel="0" collapsed="false">
      <c r="A134" s="4" t="s">
        <v>371</v>
      </c>
      <c r="B134" s="12" t="s">
        <v>82</v>
      </c>
      <c r="C134" s="19" t="n">
        <f aca="false">$C$133/(2*SIN(PI()*$C$23/$C$48)^2)</f>
        <v>13.4424863557652</v>
      </c>
      <c r="D134" s="12" t="s">
        <v>357</v>
      </c>
      <c r="E134" s="16" t="s">
        <v>118</v>
      </c>
      <c r="F134" s="4"/>
    </row>
    <row r="135" customFormat="false" ht="15" hidden="false" customHeight="false" outlineLevel="0" collapsed="false">
      <c r="A135" s="4" t="s">
        <v>372</v>
      </c>
      <c r="B135" s="12" t="s">
        <v>373</v>
      </c>
      <c r="C135" s="19" t="n">
        <f aca="false">$C$127-$C$134</f>
        <v>74.7463444762183</v>
      </c>
      <c r="D135" s="12" t="s">
        <v>357</v>
      </c>
      <c r="E135" s="16" t="s">
        <v>118</v>
      </c>
      <c r="F135" s="4"/>
    </row>
    <row r="136" customFormat="false" ht="15" hidden="false" customHeight="false" outlineLevel="0" collapsed="false">
      <c r="A136" s="4" t="s">
        <v>374</v>
      </c>
      <c r="B136" s="12" t="s">
        <v>375</v>
      </c>
      <c r="C136" s="16" t="n">
        <f aca="false">$C$41+10</f>
        <v>145</v>
      </c>
      <c r="D136" s="12" t="s">
        <v>147</v>
      </c>
      <c r="E136" s="16" t="s">
        <v>118</v>
      </c>
      <c r="F136" s="4"/>
    </row>
    <row r="137" customFormat="false" ht="15" hidden="false" customHeight="false" outlineLevel="0" collapsed="false">
      <c r="A137" s="4" t="s">
        <v>376</v>
      </c>
      <c r="B137" s="12" t="s">
        <v>377</v>
      </c>
      <c r="C137" s="19" t="n">
        <f aca="false">$C$96*$C$136/1000/($C$135/1000000)</f>
        <v>71.3687075586321</v>
      </c>
      <c r="D137" s="12" t="s">
        <v>280</v>
      </c>
      <c r="E137" s="16" t="s">
        <v>118</v>
      </c>
      <c r="F137" s="4" t="s">
        <v>378</v>
      </c>
    </row>
    <row r="138" customFormat="false" ht="15" hidden="false" customHeight="false" outlineLevel="0" collapsed="false">
      <c r="A138" s="4" t="s">
        <v>379</v>
      </c>
      <c r="B138" s="12" t="s">
        <v>252</v>
      </c>
      <c r="C138" s="22" t="n">
        <v>0.5</v>
      </c>
      <c r="D138" s="12" t="s">
        <v>147</v>
      </c>
      <c r="E138" s="16" t="s">
        <v>148</v>
      </c>
      <c r="F138" s="4" t="s">
        <v>380</v>
      </c>
    </row>
    <row r="139" customFormat="false" ht="15" hidden="false" customHeight="false" outlineLevel="0" collapsed="false">
      <c r="A139" s="4" t="s">
        <v>381</v>
      </c>
      <c r="B139" s="12" t="s">
        <v>256</v>
      </c>
      <c r="C139" s="22" t="n">
        <v>1</v>
      </c>
      <c r="D139" s="12" t="s">
        <v>147</v>
      </c>
      <c r="E139" s="16" t="s">
        <v>148</v>
      </c>
      <c r="F139" s="4"/>
    </row>
    <row r="140" customFormat="false" ht="15" hidden="false" customHeight="false" outlineLevel="0" collapsed="false">
      <c r="A140" s="4" t="s">
        <v>382</v>
      </c>
      <c r="B140" s="12" t="s">
        <v>383</v>
      </c>
      <c r="C140" s="22" t="n">
        <v>20</v>
      </c>
      <c r="D140" s="12" t="s">
        <v>147</v>
      </c>
      <c r="E140" s="16" t="s">
        <v>165</v>
      </c>
      <c r="F140" s="4" t="s">
        <v>384</v>
      </c>
    </row>
    <row r="141" customFormat="false" ht="15" hidden="false" customHeight="false" outlineLevel="0" collapsed="false">
      <c r="A141" s="4" t="s">
        <v>385</v>
      </c>
      <c r="B141" s="12" t="s">
        <v>271</v>
      </c>
      <c r="C141" s="22" t="n">
        <v>5.4</v>
      </c>
      <c r="D141" s="12" t="s">
        <v>147</v>
      </c>
      <c r="E141" s="16" t="s">
        <v>165</v>
      </c>
      <c r="F141" s="4"/>
    </row>
    <row r="142" customFormat="false" ht="15" hidden="false" customHeight="false" outlineLevel="0" collapsed="false">
      <c r="A142" s="4" t="s">
        <v>386</v>
      </c>
      <c r="B142" s="12" t="s">
        <v>273</v>
      </c>
      <c r="C142" s="22" t="n">
        <v>2</v>
      </c>
      <c r="D142" s="12" t="s">
        <v>147</v>
      </c>
      <c r="E142" s="16" t="s">
        <v>165</v>
      </c>
      <c r="F142" s="4"/>
    </row>
    <row r="143" customFormat="false" ht="15" hidden="false" customHeight="false" outlineLevel="0" collapsed="false">
      <c r="A143" s="4" t="s">
        <v>387</v>
      </c>
      <c r="B143" s="12" t="s">
        <v>277</v>
      </c>
      <c r="C143" s="19" t="n">
        <f aca="false">$C$140-$C$138-$C$141/2-$C$142/2</f>
        <v>15.8</v>
      </c>
      <c r="D143" s="12" t="s">
        <v>147</v>
      </c>
      <c r="E143" s="16" t="s">
        <v>118</v>
      </c>
      <c r="F143" s="4"/>
    </row>
    <row r="144" customFormat="false" ht="15" hidden="false" customHeight="false" outlineLevel="0" collapsed="false">
      <c r="A144" s="4" t="s">
        <v>388</v>
      </c>
      <c r="B144" s="12" t="s">
        <v>389</v>
      </c>
      <c r="C144" s="19" t="n">
        <f aca="false">PI()/8*($C$141^2+$C$142^2)+($C$141+$C$142)/2*$C$143</f>
        <v>71.4819015491297</v>
      </c>
      <c r="D144" s="12" t="s">
        <v>280</v>
      </c>
      <c r="E144" s="16" t="s">
        <v>118</v>
      </c>
      <c r="F144" s="5" t="s">
        <v>390</v>
      </c>
    </row>
    <row r="145" customFormat="false" ht="15" hidden="false" customHeight="false" outlineLevel="0" collapsed="false">
      <c r="A145" s="4" t="s">
        <v>391</v>
      </c>
      <c r="B145" s="12" t="s">
        <v>82</v>
      </c>
      <c r="C145" s="26" t="n">
        <f aca="false">($C$144-$C$137)/$C$137</f>
        <v>0.00158604512215104</v>
      </c>
      <c r="D145" s="12" t="s">
        <v>82</v>
      </c>
      <c r="E145" s="16" t="s">
        <v>118</v>
      </c>
      <c r="F145" s="4"/>
    </row>
    <row r="146" customFormat="false" ht="15" hidden="false" customHeight="false" outlineLevel="0" collapsed="false">
      <c r="A146" s="4" t="s">
        <v>392</v>
      </c>
      <c r="B146" s="12" t="s">
        <v>393</v>
      </c>
      <c r="C146" s="21" t="n">
        <f aca="false">$C$125/$C$144</f>
        <v>2.00716960958693</v>
      </c>
      <c r="D146" s="12" t="s">
        <v>286</v>
      </c>
      <c r="E146" s="16" t="s">
        <v>118</v>
      </c>
      <c r="F146" s="5" t="s">
        <v>394</v>
      </c>
    </row>
    <row r="147" customFormat="false" ht="15" hidden="false" customHeight="false" outlineLevel="0" collapsed="false">
      <c r="A147" s="4" t="s">
        <v>395</v>
      </c>
      <c r="B147" s="12" t="s">
        <v>396</v>
      </c>
      <c r="C147" s="21" t="n">
        <f aca="false">$C$126/$C$130</f>
        <v>1.34328466946494</v>
      </c>
      <c r="D147" s="12" t="s">
        <v>286</v>
      </c>
      <c r="E147" s="16" t="s">
        <v>118</v>
      </c>
      <c r="F147" s="4"/>
    </row>
    <row r="148" customFormat="false" ht="15" hidden="false" customHeight="false" outlineLevel="0" collapsed="false">
      <c r="A148" s="4" t="s">
        <v>397</v>
      </c>
      <c r="B148" s="12" t="s">
        <v>82</v>
      </c>
      <c r="C148" s="19" t="n">
        <f aca="false">$C$40-2*($C$138+$C$141/2)</f>
        <v>91</v>
      </c>
      <c r="D148" s="12" t="s">
        <v>147</v>
      </c>
      <c r="E148" s="16" t="s">
        <v>118</v>
      </c>
      <c r="F148" s="4"/>
    </row>
    <row r="149" customFormat="false" ht="15" hidden="false" customHeight="false" outlineLevel="0" collapsed="false">
      <c r="A149" s="4" t="s">
        <v>398</v>
      </c>
      <c r="B149" s="12" t="s">
        <v>399</v>
      </c>
      <c r="C149" s="21" t="n">
        <f aca="false">PI()*$C$148/$C$48-$C$141</f>
        <v>4.81017612416683</v>
      </c>
      <c r="D149" s="12" t="s">
        <v>147</v>
      </c>
      <c r="E149" s="16" t="s">
        <v>118</v>
      </c>
      <c r="F149" s="4"/>
    </row>
    <row r="150" customFormat="false" ht="15" hidden="false" customHeight="false" outlineLevel="0" collapsed="false">
      <c r="A150" s="4" t="s">
        <v>400</v>
      </c>
      <c r="B150" s="12" t="s">
        <v>401</v>
      </c>
      <c r="C150" s="21" t="n">
        <f aca="false">$C$70*$C$123/($C$42*$C$149)</f>
        <v>1.67975807566313</v>
      </c>
      <c r="D150" s="12" t="s">
        <v>204</v>
      </c>
      <c r="E150" s="16" t="s">
        <v>118</v>
      </c>
      <c r="F150" s="5" t="s">
        <v>402</v>
      </c>
    </row>
    <row r="151" customFormat="false" ht="15" hidden="false" customHeight="false" outlineLevel="0" collapsed="false">
      <c r="A151" s="4" t="s">
        <v>403</v>
      </c>
      <c r="B151" s="12" t="s">
        <v>404</v>
      </c>
      <c r="C151" s="19" t="n">
        <f aca="false">($C$40-2*$C$140-$C$44)/2</f>
        <v>10.7</v>
      </c>
      <c r="D151" s="12" t="s">
        <v>147</v>
      </c>
      <c r="E151" s="16" t="s">
        <v>118</v>
      </c>
      <c r="F151" s="4"/>
    </row>
    <row r="152" customFormat="false" ht="15" hidden="false" customHeight="false" outlineLevel="0" collapsed="false">
      <c r="A152" s="4" t="s">
        <v>405</v>
      </c>
      <c r="B152" s="12" t="s">
        <v>406</v>
      </c>
      <c r="C152" s="21" t="n">
        <f aca="false">$C$71/(2*$C$42*$C$41/1000*$C$151/1000)</f>
        <v>1.69293087075585</v>
      </c>
      <c r="D152" s="12" t="s">
        <v>204</v>
      </c>
      <c r="E152" s="16" t="s">
        <v>118</v>
      </c>
      <c r="F152" s="4" t="s">
        <v>407</v>
      </c>
    </row>
    <row r="153" customFormat="false" ht="15" hidden="false" customHeight="false" outlineLevel="0" collapsed="false">
      <c r="A153" s="4" t="s">
        <v>408</v>
      </c>
      <c r="B153" s="12" t="s">
        <v>409</v>
      </c>
      <c r="C153" s="21" t="n">
        <f aca="false">($C$140-$C$138)/1000*SQRT(2*PI()*$C$11*4*PI()*0.0000001/(2*0.0283*0.000001))</f>
        <v>1.78400836808498</v>
      </c>
      <c r="D153" s="12" t="s">
        <v>82</v>
      </c>
      <c r="E153" s="16" t="s">
        <v>118</v>
      </c>
      <c r="F153" s="4"/>
    </row>
    <row r="154" customFormat="false" ht="15" hidden="false" customHeight="false" outlineLevel="0" collapsed="false">
      <c r="A154" s="4" t="s">
        <v>410</v>
      </c>
      <c r="B154" s="12" t="s">
        <v>411</v>
      </c>
      <c r="C154" s="21" t="n">
        <f aca="false">$C$153*(SINH(2*$C$153)+SIN(2*$C$153))/(COSH(2*$C$153)-COS(2*$C$153))</f>
        <v>1.6546367488242</v>
      </c>
      <c r="D154" s="12" t="s">
        <v>82</v>
      </c>
      <c r="E154" s="16" t="s">
        <v>118</v>
      </c>
      <c r="F154" s="4" t="s">
        <v>412</v>
      </c>
    </row>
    <row r="155" customFormat="false" ht="15" hidden="false" customHeight="false" outlineLevel="0" collapsed="false">
      <c r="A155" s="13" t="s">
        <v>413</v>
      </c>
      <c r="B155" s="14"/>
      <c r="C155" s="14"/>
      <c r="D155" s="14"/>
      <c r="E155" s="14"/>
      <c r="F155" s="14"/>
    </row>
    <row r="156" customFormat="false" ht="15" hidden="false" customHeight="false" outlineLevel="0" collapsed="false">
      <c r="A156" s="4" t="s">
        <v>414</v>
      </c>
      <c r="B156" s="12" t="s">
        <v>415</v>
      </c>
      <c r="C156" s="16" t="n">
        <f aca="false">360/$C$46*$C$49</f>
        <v>10</v>
      </c>
      <c r="D156" s="12" t="s">
        <v>416</v>
      </c>
      <c r="E156" s="16" t="s">
        <v>118</v>
      </c>
      <c r="F156" s="5" t="s">
        <v>417</v>
      </c>
    </row>
    <row r="157" customFormat="false" ht="15" hidden="false" customHeight="false" outlineLevel="0" collapsed="false">
      <c r="A157" s="4" t="s">
        <v>418</v>
      </c>
      <c r="B157" s="12" t="s">
        <v>419</v>
      </c>
      <c r="C157" s="16" t="n">
        <f aca="false">$C$23*$C$156</f>
        <v>20</v>
      </c>
      <c r="D157" s="12" t="s">
        <v>416</v>
      </c>
      <c r="E157" s="16" t="s">
        <v>118</v>
      </c>
      <c r="F157" s="4"/>
    </row>
    <row r="158" customFormat="false" ht="15" hidden="false" customHeight="false" outlineLevel="0" collapsed="false">
      <c r="A158" s="4" t="s">
        <v>420</v>
      </c>
      <c r="B158" s="12" t="s">
        <v>421</v>
      </c>
      <c r="C158" s="21" t="n">
        <f aca="false">PI()*$C$40/$C$46*$C$49</f>
        <v>8.49975345721239</v>
      </c>
      <c r="D158" s="12" t="s">
        <v>147</v>
      </c>
      <c r="E158" s="16" t="s">
        <v>118</v>
      </c>
      <c r="F158" s="4"/>
    </row>
    <row r="159" customFormat="false" ht="15" hidden="false" customHeight="false" outlineLevel="0" collapsed="false">
      <c r="A159" s="4" t="s">
        <v>422</v>
      </c>
      <c r="B159" s="12" t="s">
        <v>82</v>
      </c>
      <c r="C159" s="21" t="n">
        <f aca="false">ATAN($C$158/$C$41)*180/PI()</f>
        <v>3.60265199925777</v>
      </c>
      <c r="D159" s="12" t="s">
        <v>416</v>
      </c>
      <c r="E159" s="16" t="s">
        <v>118</v>
      </c>
      <c r="F159" s="5" t="s">
        <v>423</v>
      </c>
    </row>
    <row r="160" customFormat="false" ht="15" hidden="false" customHeight="false" outlineLevel="0" collapsed="false">
      <c r="A160" s="4" t="s">
        <v>424</v>
      </c>
      <c r="B160" s="12" t="s">
        <v>425</v>
      </c>
      <c r="C160" s="23" t="n">
        <f aca="false">SIN(RADIANS($C$157)/2)/(RADIANS($C$157)/2)</f>
        <v>0.994930770045299</v>
      </c>
      <c r="D160" s="12" t="s">
        <v>82</v>
      </c>
      <c r="E160" s="16" t="s">
        <v>118</v>
      </c>
      <c r="F160" s="4"/>
    </row>
    <row r="161" customFormat="false" ht="15" hidden="false" customHeight="false" outlineLevel="0" collapsed="false">
      <c r="A161" s="4" t="s">
        <v>426</v>
      </c>
      <c r="B161" s="12" t="s">
        <v>427</v>
      </c>
      <c r="C161" s="23" t="n">
        <f aca="false">SIN(5*RADIANS($C$157)/2)/(5*RADIANS($C$157)/2)</f>
        <v>0.877822270203338</v>
      </c>
      <c r="D161" s="12" t="s">
        <v>82</v>
      </c>
      <c r="E161" s="16" t="s">
        <v>118</v>
      </c>
      <c r="F161" s="4"/>
    </row>
    <row r="162" customFormat="false" ht="15" hidden="false" customHeight="false" outlineLevel="0" collapsed="false">
      <c r="A162" s="4" t="s">
        <v>428</v>
      </c>
      <c r="B162" s="12" t="s">
        <v>429</v>
      </c>
      <c r="C162" s="23" t="n">
        <f aca="false">SIN(7*RADIANS($C$157)/2)/(7*RADIANS($C$157)/2)</f>
        <v>0.769148874437427</v>
      </c>
      <c r="D162" s="12" t="s">
        <v>82</v>
      </c>
      <c r="E162" s="16" t="s">
        <v>118</v>
      </c>
      <c r="F162" s="4"/>
    </row>
    <row r="163" customFormat="false" ht="15" hidden="false" customHeight="false" outlineLevel="0" collapsed="false">
      <c r="A163" s="4" t="s">
        <v>430</v>
      </c>
      <c r="B163" s="12" t="s">
        <v>431</v>
      </c>
      <c r="C163" s="23" t="n">
        <f aca="false">SIN(13*RADIANS($C$157)/2)/(13*RADIANS($C$157)/2)</f>
        <v>0.337623950078207</v>
      </c>
      <c r="D163" s="12" t="s">
        <v>82</v>
      </c>
      <c r="E163" s="16" t="s">
        <v>118</v>
      </c>
      <c r="F163" s="4"/>
    </row>
    <row r="164" customFormat="false" ht="15" hidden="false" customHeight="false" outlineLevel="0" collapsed="false">
      <c r="A164" s="4" t="s">
        <v>432</v>
      </c>
      <c r="B164" s="12" t="s">
        <v>433</v>
      </c>
      <c r="C164" s="23" t="n">
        <f aca="false">SIN(($C$46/$C$23-1)*RADIANS($C$157)/2)/(($C$46/$C$23-1)*RADIANS($C$157)/2)</f>
        <v>0.0585253394144295</v>
      </c>
      <c r="D164" s="12" t="s">
        <v>82</v>
      </c>
      <c r="E164" s="16" t="s">
        <v>118</v>
      </c>
      <c r="F164" s="4"/>
    </row>
    <row r="165" customFormat="false" ht="15" hidden="false" customHeight="false" outlineLevel="0" collapsed="false">
      <c r="A165" s="4" t="s">
        <v>434</v>
      </c>
      <c r="B165" s="12" t="s">
        <v>435</v>
      </c>
      <c r="C165" s="23" t="n">
        <f aca="false">SIN(($C$46/$C$23+1)*RADIANS($C$157)/2)/(($C$46/$C$23+1)*RADIANS($C$157)/2)</f>
        <v>-0.0523647773708051</v>
      </c>
      <c r="D165" s="12" t="s">
        <v>82</v>
      </c>
      <c r="E165" s="16" t="s">
        <v>118</v>
      </c>
      <c r="F165" s="5" t="s">
        <v>436</v>
      </c>
    </row>
    <row r="166" customFormat="false" ht="15" hidden="false" customHeight="false" outlineLevel="0" collapsed="false">
      <c r="A166" s="4" t="s">
        <v>437</v>
      </c>
      <c r="B166" s="12" t="s">
        <v>438</v>
      </c>
      <c r="C166" s="18" t="n">
        <f aca="false">1-$C$160</f>
        <v>0.00506922995470138</v>
      </c>
      <c r="D166" s="12" t="s">
        <v>82</v>
      </c>
      <c r="E166" s="16" t="s">
        <v>118</v>
      </c>
      <c r="F166" s="4"/>
    </row>
    <row r="167" customFormat="false" ht="15" hidden="false" customHeight="false" outlineLevel="0" collapsed="false">
      <c r="A167" s="13" t="s">
        <v>439</v>
      </c>
      <c r="B167" s="14"/>
      <c r="C167" s="14"/>
      <c r="D167" s="14"/>
      <c r="E167" s="14"/>
      <c r="F167" s="14"/>
    </row>
    <row r="168" customFormat="false" ht="15" hidden="false" customHeight="false" outlineLevel="0" collapsed="false">
      <c r="A168" s="4" t="s">
        <v>440</v>
      </c>
      <c r="B168" s="12" t="s">
        <v>82</v>
      </c>
      <c r="C168" s="21" t="n">
        <f aca="false">($C$78/$C$39)^2/(5+$C$78/$C$39)</f>
        <v>5.20833333333333</v>
      </c>
      <c r="D168" s="12" t="s">
        <v>82</v>
      </c>
      <c r="E168" s="16" t="s">
        <v>118</v>
      </c>
      <c r="F168" s="4"/>
    </row>
    <row r="169" customFormat="false" ht="15" hidden="false" customHeight="false" outlineLevel="0" collapsed="false">
      <c r="A169" s="4" t="s">
        <v>441</v>
      </c>
      <c r="B169" s="12" t="s">
        <v>82</v>
      </c>
      <c r="C169" s="23" t="n">
        <f aca="false">$C$62/($C$62-$C$168*$C$39)</f>
        <v>1.22354598533038</v>
      </c>
      <c r="D169" s="12" t="s">
        <v>82</v>
      </c>
      <c r="E169" s="16" t="s">
        <v>118</v>
      </c>
      <c r="F169" s="4"/>
    </row>
    <row r="170" customFormat="false" ht="15" hidden="false" customHeight="false" outlineLevel="0" collapsed="false">
      <c r="A170" s="4" t="s">
        <v>442</v>
      </c>
      <c r="B170" s="12" t="s">
        <v>82</v>
      </c>
      <c r="C170" s="21" t="n">
        <f aca="false">($C$139/$C$39)^2/(5+$C$139/$C$39)</f>
        <v>1.33333333333333</v>
      </c>
      <c r="D170" s="12" t="s">
        <v>82</v>
      </c>
      <c r="E170" s="16" t="s">
        <v>118</v>
      </c>
      <c r="F170" s="4"/>
    </row>
    <row r="171" customFormat="false" ht="15" hidden="false" customHeight="false" outlineLevel="0" collapsed="false">
      <c r="A171" s="4" t="s">
        <v>443</v>
      </c>
      <c r="B171" s="12" t="s">
        <v>82</v>
      </c>
      <c r="C171" s="23" t="n">
        <f aca="false">$C$123/($C$123-$C$170*$C$39)</f>
        <v>1.0379930027423</v>
      </c>
      <c r="D171" s="12" t="s">
        <v>82</v>
      </c>
      <c r="E171" s="16" t="s">
        <v>118</v>
      </c>
      <c r="F171" s="4"/>
    </row>
    <row r="172" customFormat="false" ht="15" hidden="false" customHeight="false" outlineLevel="0" collapsed="false">
      <c r="A172" s="4" t="s">
        <v>444</v>
      </c>
      <c r="B172" s="12" t="s">
        <v>445</v>
      </c>
      <c r="C172" s="23" t="n">
        <f aca="false">$C$169*$C$171</f>
        <v>1.27003217130636</v>
      </c>
      <c r="D172" s="12" t="s">
        <v>82</v>
      </c>
      <c r="E172" s="16" t="s">
        <v>118</v>
      </c>
      <c r="F172" s="4"/>
    </row>
    <row r="173" customFormat="false" ht="15" hidden="false" customHeight="false" outlineLevel="0" collapsed="false">
      <c r="A173" s="4" t="s">
        <v>446</v>
      </c>
      <c r="B173" s="12" t="s">
        <v>447</v>
      </c>
      <c r="C173" s="23" t="n">
        <f aca="false">$C$172*$C$39</f>
        <v>0.381009651391908</v>
      </c>
      <c r="D173" s="12" t="s">
        <v>147</v>
      </c>
      <c r="E173" s="16" t="s">
        <v>118</v>
      </c>
      <c r="F173" s="4"/>
    </row>
    <row r="174" customFormat="false" ht="15" hidden="false" customHeight="false" outlineLevel="0" collapsed="false">
      <c r="A174" s="4" t="s">
        <v>448</v>
      </c>
      <c r="B174" s="12" t="s">
        <v>449</v>
      </c>
      <c r="C174" s="22" t="n">
        <v>1.4</v>
      </c>
      <c r="D174" s="12" t="s">
        <v>82</v>
      </c>
      <c r="E174" s="16" t="s">
        <v>165</v>
      </c>
      <c r="F174" s="4" t="s">
        <v>450</v>
      </c>
    </row>
    <row r="175" customFormat="false" ht="15" hidden="false" customHeight="false" outlineLevel="0" collapsed="false">
      <c r="A175" s="4" t="s">
        <v>451</v>
      </c>
      <c r="B175" s="12" t="s">
        <v>452</v>
      </c>
      <c r="C175" s="20" t="n">
        <f aca="false">$C$70*$C$173/1000/(4*PI()*0.0000001)</f>
        <v>215.2059446808</v>
      </c>
      <c r="D175" s="12" t="s">
        <v>79</v>
      </c>
      <c r="E175" s="16" t="s">
        <v>118</v>
      </c>
      <c r="F175" s="4"/>
    </row>
    <row r="176" customFormat="false" ht="15" hidden="false" customHeight="false" outlineLevel="0" collapsed="false">
      <c r="A176" s="4" t="s">
        <v>453</v>
      </c>
      <c r="B176" s="12" t="s">
        <v>454</v>
      </c>
      <c r="C176" s="21" t="n">
        <f aca="false">PI()*$C$23*$C$174*$C$175/(3*SQRT(2)*$C$68*$C$60)</f>
        <v>2.6225479144322</v>
      </c>
      <c r="D176" s="12" t="s">
        <v>79</v>
      </c>
      <c r="E176" s="16" t="s">
        <v>118</v>
      </c>
      <c r="F176" s="4" t="s">
        <v>455</v>
      </c>
    </row>
    <row r="177" customFormat="false" ht="15" hidden="false" customHeight="false" outlineLevel="0" collapsed="false">
      <c r="A177" s="4" t="s">
        <v>456</v>
      </c>
      <c r="B177" s="12" t="s">
        <v>457</v>
      </c>
      <c r="C177" s="19" t="n">
        <f aca="false">$C$63/$C$176</f>
        <v>81.1467764047969</v>
      </c>
      <c r="D177" s="12" t="s">
        <v>140</v>
      </c>
      <c r="E177" s="16" t="s">
        <v>118</v>
      </c>
      <c r="F177" s="4"/>
    </row>
    <row r="178" customFormat="false" ht="15" hidden="false" customHeight="false" outlineLevel="0" collapsed="false">
      <c r="A178" s="4" t="s">
        <v>458</v>
      </c>
      <c r="B178" s="12" t="s">
        <v>459</v>
      </c>
      <c r="C178" s="21" t="n">
        <f aca="false">$C$177*(1-$C$160^2)</f>
        <v>0.820618103151448</v>
      </c>
      <c r="D178" s="12" t="s">
        <v>140</v>
      </c>
      <c r="E178" s="16" t="s">
        <v>118</v>
      </c>
      <c r="F178" s="5" t="s">
        <v>460</v>
      </c>
    </row>
    <row r="179" customFormat="false" ht="15" hidden="false" customHeight="false" outlineLevel="0" collapsed="false">
      <c r="A179" s="4" t="s">
        <v>461</v>
      </c>
      <c r="B179" s="12" t="s">
        <v>462</v>
      </c>
      <c r="C179" s="21" t="n">
        <f aca="false">$C$124*$C$8</f>
        <v>3.93536</v>
      </c>
      <c r="D179" s="12" t="s">
        <v>79</v>
      </c>
      <c r="E179" s="16" t="s">
        <v>118</v>
      </c>
      <c r="F179" s="4"/>
    </row>
    <row r="180" customFormat="false" ht="15" hidden="false" customHeight="false" outlineLevel="0" collapsed="false">
      <c r="A180" s="4" t="s">
        <v>463</v>
      </c>
      <c r="B180" s="12" t="s">
        <v>464</v>
      </c>
      <c r="C180" s="23" t="n">
        <f aca="false">$C$109/(3*$C$179^2)</f>
        <v>1.09406157943397</v>
      </c>
      <c r="D180" s="12" t="s">
        <v>140</v>
      </c>
      <c r="E180" s="16" t="s">
        <v>118</v>
      </c>
      <c r="F180" s="4"/>
    </row>
    <row r="181" customFormat="false" ht="15" hidden="false" customHeight="false" outlineLevel="0" collapsed="false">
      <c r="A181" s="4" t="s">
        <v>465</v>
      </c>
      <c r="B181" s="12" t="s">
        <v>466</v>
      </c>
      <c r="C181" s="23" t="n">
        <f aca="false">$C$25*($C$15+SQRT($C$15^2-1))</f>
        <v>0.106473063277287</v>
      </c>
      <c r="D181" s="12" t="s">
        <v>82</v>
      </c>
      <c r="E181" s="16" t="s">
        <v>118</v>
      </c>
      <c r="F181" s="4"/>
    </row>
    <row r="182" customFormat="false" ht="15" hidden="false" customHeight="false" outlineLevel="0" collapsed="false">
      <c r="A182" s="4" t="s">
        <v>467</v>
      </c>
      <c r="B182" s="12" t="s">
        <v>468</v>
      </c>
      <c r="C182" s="19" t="n">
        <f aca="false">$C$180/$C$181</f>
        <v>10.2754776255916</v>
      </c>
      <c r="D182" s="12" t="s">
        <v>140</v>
      </c>
      <c r="E182" s="16" t="s">
        <v>118</v>
      </c>
      <c r="F182" s="4"/>
    </row>
    <row r="183" customFormat="false" ht="15" hidden="false" customHeight="false" outlineLevel="0" collapsed="false">
      <c r="A183" s="4" t="s">
        <v>469</v>
      </c>
      <c r="B183" s="12" t="s">
        <v>470</v>
      </c>
      <c r="C183" s="27" t="n">
        <f aca="false">0.5*(7650*PI()/4*(($C$40/1000)^2-($C$44/1000)^2)*$C$41/1000*$C$42)*((($C$40/2000)^2)+(($C$44/2000)^2))</f>
        <v>0.00859647630974911</v>
      </c>
      <c r="D183" s="12" t="s">
        <v>104</v>
      </c>
      <c r="E183" s="16" t="s">
        <v>118</v>
      </c>
      <c r="F183" s="4" t="s">
        <v>471</v>
      </c>
    </row>
    <row r="184" customFormat="false" ht="15" hidden="false" customHeight="false" outlineLevel="0" collapsed="false">
      <c r="A184" s="4" t="s">
        <v>472</v>
      </c>
      <c r="B184" s="12" t="s">
        <v>82</v>
      </c>
      <c r="C184" s="26" t="n">
        <f aca="false">($C$183-$C$33)/$C$33</f>
        <v>0.0745595387186386</v>
      </c>
      <c r="D184" s="12" t="s">
        <v>82</v>
      </c>
      <c r="E184" s="16" t="s">
        <v>118</v>
      </c>
      <c r="F184" s="5" t="s">
        <v>20</v>
      </c>
    </row>
    <row r="185" customFormat="false" ht="15" hidden="false" customHeight="false" outlineLevel="0" collapsed="false">
      <c r="A185" s="13" t="s">
        <v>473</v>
      </c>
      <c r="B185" s="14"/>
      <c r="C185" s="14"/>
      <c r="D185" s="14"/>
      <c r="E185" s="14"/>
      <c r="F185" s="14"/>
    </row>
    <row r="186" customFormat="false" ht="15" hidden="false" customHeight="false" outlineLevel="0" collapsed="false">
      <c r="A186" s="4" t="s">
        <v>474</v>
      </c>
      <c r="B186" s="12" t="s">
        <v>183</v>
      </c>
      <c r="C186" s="28"/>
      <c r="D186" s="12" t="s">
        <v>82</v>
      </c>
      <c r="E186" s="16" t="s">
        <v>475</v>
      </c>
      <c r="F186" s="4" t="s">
        <v>476</v>
      </c>
    </row>
    <row r="187" customFormat="false" ht="15" hidden="false" customHeight="false" outlineLevel="0" collapsed="false">
      <c r="A187" s="4" t="s">
        <v>477</v>
      </c>
      <c r="B187" s="12" t="s">
        <v>82</v>
      </c>
      <c r="C187" s="28"/>
      <c r="D187" s="16" t="s">
        <v>191</v>
      </c>
      <c r="E187" s="16" t="s">
        <v>475</v>
      </c>
      <c r="F187" s="4" t="s">
        <v>478</v>
      </c>
    </row>
    <row r="188" customFormat="false" ht="15" hidden="false" customHeight="false" outlineLevel="0" collapsed="false">
      <c r="A188" s="5" t="s">
        <v>479</v>
      </c>
      <c r="B188" s="12" t="s">
        <v>82</v>
      </c>
      <c r="C188" s="28"/>
      <c r="D188" s="12" t="s">
        <v>82</v>
      </c>
      <c r="E188" s="16" t="s">
        <v>475</v>
      </c>
      <c r="F188" s="4" t="s">
        <v>480</v>
      </c>
    </row>
    <row r="189" customFormat="false" ht="15" hidden="false" customHeight="false" outlineLevel="0" collapsed="false">
      <c r="A189" s="4" t="s">
        <v>481</v>
      </c>
      <c r="B189" s="12" t="s">
        <v>234</v>
      </c>
      <c r="C189" s="28"/>
      <c r="D189" s="12" t="s">
        <v>230</v>
      </c>
      <c r="E189" s="16" t="s">
        <v>475</v>
      </c>
      <c r="F189" s="4" t="s">
        <v>482</v>
      </c>
    </row>
    <row r="190" customFormat="false" ht="15" hidden="false" customHeight="false" outlineLevel="0" collapsed="false">
      <c r="A190" s="4" t="s">
        <v>193</v>
      </c>
      <c r="B190" s="12" t="s">
        <v>194</v>
      </c>
      <c r="C190" s="28"/>
      <c r="D190" s="12" t="s">
        <v>82</v>
      </c>
      <c r="E190" s="16" t="s">
        <v>475</v>
      </c>
      <c r="F190" s="4" t="s">
        <v>483</v>
      </c>
    </row>
    <row r="191" customFormat="false" ht="15" hidden="false" customHeight="false" outlineLevel="0" collapsed="false">
      <c r="A191" s="4" t="s">
        <v>484</v>
      </c>
      <c r="B191" s="12" t="s">
        <v>82</v>
      </c>
      <c r="C191" s="28"/>
      <c r="D191" s="12" t="s">
        <v>82</v>
      </c>
      <c r="E191" s="16" t="s">
        <v>475</v>
      </c>
      <c r="F191" s="4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36"/>
  </cols>
  <sheetData>
    <row r="1" customFormat="false" ht="20.1" hidden="false" customHeight="false" outlineLevel="0" collapsed="false">
      <c r="A1" s="29" t="s">
        <v>486</v>
      </c>
    </row>
    <row r="3" customFormat="false" ht="15" hidden="false" customHeight="false" outlineLevel="0" collapsed="false">
      <c r="A3" s="3" t="s">
        <v>63</v>
      </c>
      <c r="B3" s="3" t="s">
        <v>65</v>
      </c>
      <c r="C3" s="3" t="s">
        <v>66</v>
      </c>
      <c r="D3" s="3" t="s">
        <v>5</v>
      </c>
    </row>
    <row r="4" customFormat="false" ht="23.85" hidden="false" customHeight="false" outlineLevel="0" collapsed="false">
      <c r="A4" s="4" t="s">
        <v>487</v>
      </c>
      <c r="B4" s="5" t="s">
        <v>488</v>
      </c>
      <c r="C4" s="5" t="s">
        <v>82</v>
      </c>
      <c r="D4" s="5" t="s">
        <v>489</v>
      </c>
    </row>
    <row r="5" customFormat="false" ht="15" hidden="false" customHeight="false" outlineLevel="0" collapsed="false">
      <c r="A5" s="4" t="s">
        <v>490</v>
      </c>
      <c r="B5" s="5" t="s">
        <v>491</v>
      </c>
      <c r="C5" s="5" t="s">
        <v>82</v>
      </c>
      <c r="D5" s="4"/>
    </row>
    <row r="6" customFormat="false" ht="15" hidden="false" customHeight="false" outlineLevel="0" collapsed="false">
      <c r="A6" s="4" t="s">
        <v>90</v>
      </c>
      <c r="B6" s="5" t="s">
        <v>492</v>
      </c>
      <c r="C6" s="5" t="s">
        <v>92</v>
      </c>
      <c r="D6" s="4"/>
    </row>
    <row r="7" customFormat="false" ht="15" hidden="false" customHeight="false" outlineLevel="0" collapsed="false">
      <c r="A7" s="4" t="s">
        <v>493</v>
      </c>
      <c r="B7" s="5" t="s">
        <v>494</v>
      </c>
      <c r="C7" s="5" t="s">
        <v>76</v>
      </c>
      <c r="D7" s="5" t="s">
        <v>495</v>
      </c>
    </row>
    <row r="8" customFormat="false" ht="15" hidden="false" customHeight="false" outlineLevel="0" collapsed="false">
      <c r="A8" s="4" t="s">
        <v>496</v>
      </c>
      <c r="B8" s="5" t="s">
        <v>497</v>
      </c>
      <c r="C8" s="5" t="s">
        <v>79</v>
      </c>
      <c r="D8" s="4"/>
    </row>
    <row r="9" customFormat="false" ht="15" hidden="false" customHeight="false" outlineLevel="0" collapsed="false">
      <c r="A9" s="4" t="s">
        <v>498</v>
      </c>
      <c r="B9" s="5" t="s">
        <v>499</v>
      </c>
      <c r="C9" s="5" t="s">
        <v>500</v>
      </c>
      <c r="D9" s="5" t="s">
        <v>501</v>
      </c>
    </row>
    <row r="10" customFormat="false" ht="15" hidden="false" customHeight="false" outlineLevel="0" collapsed="false">
      <c r="A10" s="4" t="s">
        <v>83</v>
      </c>
      <c r="B10" s="5" t="s">
        <v>502</v>
      </c>
      <c r="C10" s="5" t="s">
        <v>82</v>
      </c>
      <c r="D10" s="4"/>
    </row>
    <row r="11" customFormat="false" ht="15" hidden="false" customHeight="false" outlineLevel="0" collapsed="false">
      <c r="A11" s="4" t="s">
        <v>503</v>
      </c>
      <c r="B11" s="5" t="s">
        <v>504</v>
      </c>
      <c r="C11" s="5" t="s">
        <v>82</v>
      </c>
      <c r="D11" s="4"/>
    </row>
    <row r="12" customFormat="false" ht="15" hidden="false" customHeight="false" outlineLevel="0" collapsed="false">
      <c r="A12" s="4" t="s">
        <v>130</v>
      </c>
      <c r="B12" s="5" t="s">
        <v>505</v>
      </c>
      <c r="C12" s="5" t="s">
        <v>506</v>
      </c>
      <c r="D12" s="5" t="s">
        <v>507</v>
      </c>
    </row>
    <row r="13" customFormat="false" ht="15" hidden="false" customHeight="false" outlineLevel="0" collapsed="false">
      <c r="A13" s="5" t="s">
        <v>508</v>
      </c>
      <c r="B13" s="5" t="s">
        <v>509</v>
      </c>
      <c r="C13" s="5" t="s">
        <v>510</v>
      </c>
      <c r="D13" s="4"/>
    </row>
    <row r="14" customFormat="false" ht="15" hidden="false" customHeight="false" outlineLevel="0" collapsed="false">
      <c r="A14" s="4" t="s">
        <v>109</v>
      </c>
      <c r="B14" s="5" t="s">
        <v>110</v>
      </c>
      <c r="C14" s="5" t="s">
        <v>82</v>
      </c>
      <c r="D14" s="4"/>
    </row>
    <row r="15" customFormat="false" ht="15" hidden="false" customHeight="false" outlineLevel="0" collapsed="false">
      <c r="A15" s="4" t="s">
        <v>111</v>
      </c>
      <c r="B15" s="5" t="s">
        <v>112</v>
      </c>
      <c r="C15" s="5" t="s">
        <v>82</v>
      </c>
      <c r="D15" s="4"/>
    </row>
    <row r="16" customFormat="false" ht="15" hidden="false" customHeight="false" outlineLevel="0" collapsed="false">
      <c r="A16" s="4" t="s">
        <v>511</v>
      </c>
      <c r="B16" s="5" t="s">
        <v>512</v>
      </c>
      <c r="C16" s="5" t="s">
        <v>82</v>
      </c>
      <c r="D16" s="4"/>
    </row>
    <row r="17" customFormat="false" ht="15" hidden="false" customHeight="false" outlineLevel="0" collapsed="false">
      <c r="A17" s="4" t="s">
        <v>513</v>
      </c>
      <c r="B17" s="5" t="s">
        <v>514</v>
      </c>
      <c r="C17" s="5" t="s">
        <v>82</v>
      </c>
      <c r="D17" s="4"/>
    </row>
    <row r="18" customFormat="false" ht="15" hidden="false" customHeight="false" outlineLevel="0" collapsed="false">
      <c r="A18" s="4" t="s">
        <v>515</v>
      </c>
      <c r="B18" s="5" t="s">
        <v>516</v>
      </c>
      <c r="C18" s="5" t="s">
        <v>82</v>
      </c>
      <c r="D18" s="4"/>
    </row>
    <row r="19" customFormat="false" ht="15" hidden="false" customHeight="false" outlineLevel="0" collapsed="false">
      <c r="A19" s="4" t="s">
        <v>113</v>
      </c>
      <c r="B19" s="5" t="s">
        <v>517</v>
      </c>
      <c r="C19" s="5" t="s">
        <v>518</v>
      </c>
      <c r="D19" s="4"/>
    </row>
    <row r="20" customFormat="false" ht="15" hidden="false" customHeight="false" outlineLevel="0" collapsed="false">
      <c r="A20" s="4" t="s">
        <v>519</v>
      </c>
      <c r="B20" s="5" t="s">
        <v>520</v>
      </c>
      <c r="C20" s="5" t="s">
        <v>147</v>
      </c>
      <c r="D20" s="4"/>
    </row>
    <row r="21" customFormat="false" ht="15" hidden="false" customHeight="false" outlineLevel="0" collapsed="false">
      <c r="A21" s="4" t="s">
        <v>521</v>
      </c>
      <c r="B21" s="5" t="s">
        <v>522</v>
      </c>
      <c r="C21" s="5" t="s">
        <v>147</v>
      </c>
      <c r="D21" s="4"/>
    </row>
    <row r="22" customFormat="false" ht="15" hidden="false" customHeight="false" outlineLevel="0" collapsed="false">
      <c r="A22" s="4" t="s">
        <v>523</v>
      </c>
      <c r="B22" s="5" t="s">
        <v>524</v>
      </c>
      <c r="C22" s="5" t="s">
        <v>147</v>
      </c>
      <c r="D22" s="5" t="s">
        <v>525</v>
      </c>
    </row>
    <row r="23" customFormat="false" ht="15" hidden="false" customHeight="false" outlineLevel="0" collapsed="false">
      <c r="A23" s="4" t="s">
        <v>526</v>
      </c>
      <c r="B23" s="5" t="s">
        <v>527</v>
      </c>
      <c r="C23" s="5" t="s">
        <v>147</v>
      </c>
      <c r="D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20.1" hidden="false" customHeight="false" outlineLevel="0" collapsed="false">
      <c r="A1" s="29" t="s">
        <v>528</v>
      </c>
    </row>
    <row r="2" customFormat="false" ht="15" hidden="false" customHeight="false" outlineLevel="0" collapsed="false">
      <c r="A2" s="10" t="s">
        <v>529</v>
      </c>
    </row>
    <row r="4" customFormat="false" ht="15" hidden="false" customHeight="false" outlineLevel="0" collapsed="false">
      <c r="A4" s="30" t="s">
        <v>183</v>
      </c>
      <c r="B4" s="3" t="s">
        <v>530</v>
      </c>
      <c r="C4" s="30" t="s">
        <v>531</v>
      </c>
      <c r="D4" s="3" t="s">
        <v>532</v>
      </c>
      <c r="E4" s="3" t="s">
        <v>533</v>
      </c>
      <c r="F4" s="3" t="s">
        <v>534</v>
      </c>
      <c r="G4" s="30" t="s">
        <v>535</v>
      </c>
      <c r="H4" s="3" t="s">
        <v>536</v>
      </c>
    </row>
    <row r="5" customFormat="false" ht="15" hidden="false" customHeight="false" outlineLevel="0" collapsed="false">
      <c r="A5" s="16" t="n">
        <v>24</v>
      </c>
      <c r="B5" s="5" t="s">
        <v>537</v>
      </c>
      <c r="C5" s="16" t="n">
        <v>8</v>
      </c>
      <c r="D5" s="4" t="s">
        <v>538</v>
      </c>
      <c r="E5" s="12" t="s">
        <v>539</v>
      </c>
      <c r="F5" s="12" t="s">
        <v>539</v>
      </c>
      <c r="G5" s="12" t="s">
        <v>540</v>
      </c>
      <c r="H5" s="4" t="s">
        <v>541</v>
      </c>
    </row>
    <row r="6" customFormat="false" ht="15" hidden="false" customHeight="false" outlineLevel="0" collapsed="false">
      <c r="A6" s="16" t="n">
        <v>26</v>
      </c>
      <c r="B6" s="5" t="s">
        <v>542</v>
      </c>
      <c r="C6" s="16" t="n">
        <v>6</v>
      </c>
      <c r="D6" s="5" t="s">
        <v>543</v>
      </c>
      <c r="E6" s="16" t="s">
        <v>544</v>
      </c>
      <c r="F6" s="12" t="s">
        <v>41</v>
      </c>
      <c r="G6" s="12" t="s">
        <v>545</v>
      </c>
      <c r="H6" s="4" t="s">
        <v>546</v>
      </c>
    </row>
    <row r="7" customFormat="false" ht="26.85" hidden="false" customHeight="false" outlineLevel="0" collapsed="false">
      <c r="A7" s="15" t="n">
        <v>28</v>
      </c>
      <c r="B7" s="31" t="s">
        <v>547</v>
      </c>
      <c r="C7" s="15" t="n">
        <v>4</v>
      </c>
      <c r="D7" s="31" t="s">
        <v>548</v>
      </c>
      <c r="E7" s="15" t="s">
        <v>549</v>
      </c>
      <c r="F7" s="15" t="s">
        <v>550</v>
      </c>
      <c r="G7" s="15" t="s">
        <v>551</v>
      </c>
      <c r="H7" s="32" t="s">
        <v>552</v>
      </c>
    </row>
    <row r="8" customFormat="false" ht="15" hidden="false" customHeight="false" outlineLevel="0" collapsed="false">
      <c r="A8" s="16" t="n">
        <v>30</v>
      </c>
      <c r="B8" s="5" t="s">
        <v>553</v>
      </c>
      <c r="C8" s="16" t="n">
        <v>2</v>
      </c>
      <c r="D8" s="5" t="s">
        <v>82</v>
      </c>
      <c r="E8" s="12" t="s">
        <v>554</v>
      </c>
      <c r="F8" s="12" t="s">
        <v>539</v>
      </c>
      <c r="G8" s="12" t="s">
        <v>555</v>
      </c>
      <c r="H8" s="4" t="s">
        <v>541</v>
      </c>
    </row>
    <row r="9" customFormat="false" ht="15" hidden="false" customHeight="false" outlineLevel="0" collapsed="false">
      <c r="A9" s="16" t="n">
        <v>32</v>
      </c>
      <c r="B9" s="5" t="s">
        <v>556</v>
      </c>
      <c r="C9" s="16" t="n">
        <v>0</v>
      </c>
      <c r="D9" s="4" t="s">
        <v>557</v>
      </c>
      <c r="E9" s="12" t="s">
        <v>558</v>
      </c>
      <c r="F9" s="16" t="s">
        <v>559</v>
      </c>
      <c r="G9" s="12" t="s">
        <v>560</v>
      </c>
      <c r="H9" s="4" t="s">
        <v>561</v>
      </c>
    </row>
    <row r="10" customFormat="false" ht="15" hidden="false" customHeight="false" outlineLevel="0" collapsed="false">
      <c r="A10" s="16" t="n">
        <v>34</v>
      </c>
      <c r="B10" s="5" t="s">
        <v>562</v>
      </c>
      <c r="C10" s="16" t="n">
        <v>2</v>
      </c>
      <c r="D10" s="4" t="s">
        <v>563</v>
      </c>
      <c r="E10" s="12" t="s">
        <v>539</v>
      </c>
      <c r="F10" s="12" t="s">
        <v>539</v>
      </c>
      <c r="G10" s="12" t="s">
        <v>564</v>
      </c>
      <c r="H10" s="4" t="s">
        <v>541</v>
      </c>
    </row>
    <row r="11" customFormat="false" ht="15" hidden="false" customHeight="false" outlineLevel="0" collapsed="false">
      <c r="A11" s="16" t="n">
        <v>36</v>
      </c>
      <c r="B11" s="5" t="s">
        <v>565</v>
      </c>
      <c r="C11" s="16" t="n">
        <v>0</v>
      </c>
      <c r="D11" s="4" t="s">
        <v>566</v>
      </c>
      <c r="E11" s="12" t="s">
        <v>539</v>
      </c>
      <c r="F11" s="12" t="s">
        <v>539</v>
      </c>
      <c r="G11" s="12" t="s">
        <v>567</v>
      </c>
      <c r="H11" s="4" t="s">
        <v>541</v>
      </c>
    </row>
    <row r="12" customFormat="false" ht="15" hidden="false" customHeight="false" outlineLevel="0" collapsed="false">
      <c r="A12" s="16" t="n">
        <v>38</v>
      </c>
      <c r="B12" s="5" t="s">
        <v>562</v>
      </c>
      <c r="C12" s="16" t="n">
        <v>2</v>
      </c>
      <c r="D12" s="5" t="s">
        <v>568</v>
      </c>
      <c r="E12" s="12" t="s">
        <v>539</v>
      </c>
      <c r="F12" s="12" t="s">
        <v>539</v>
      </c>
      <c r="G12" s="12" t="s">
        <v>569</v>
      </c>
      <c r="H12" s="4" t="s">
        <v>541</v>
      </c>
    </row>
    <row r="13" customFormat="false" ht="15" hidden="false" customHeight="false" outlineLevel="0" collapsed="false">
      <c r="A13" s="16" t="n">
        <v>40</v>
      </c>
      <c r="B13" s="5" t="s">
        <v>556</v>
      </c>
      <c r="C13" s="16" t="n">
        <v>0</v>
      </c>
      <c r="D13" s="4" t="s">
        <v>570</v>
      </c>
      <c r="E13" s="12" t="s">
        <v>539</v>
      </c>
      <c r="F13" s="12" t="s">
        <v>539</v>
      </c>
      <c r="G13" s="12" t="s">
        <v>571</v>
      </c>
      <c r="H13" s="4" t="s">
        <v>572</v>
      </c>
    </row>
    <row r="14" customFormat="false" ht="15" hidden="false" customHeight="false" outlineLevel="0" collapsed="false">
      <c r="A14" s="16" t="n">
        <v>42</v>
      </c>
      <c r="B14" s="5" t="s">
        <v>553</v>
      </c>
      <c r="C14" s="16" t="n">
        <v>2</v>
      </c>
      <c r="D14" s="5" t="s">
        <v>82</v>
      </c>
      <c r="E14" s="12" t="s">
        <v>539</v>
      </c>
      <c r="F14" s="12" t="s">
        <v>539</v>
      </c>
      <c r="G14" s="12" t="s">
        <v>573</v>
      </c>
      <c r="H14" s="4" t="s">
        <v>541</v>
      </c>
    </row>
    <row r="15" customFormat="false" ht="15" hidden="false" customHeight="false" outlineLevel="0" collapsed="false">
      <c r="A15" s="16" t="n">
        <v>44</v>
      </c>
      <c r="B15" s="5" t="s">
        <v>547</v>
      </c>
      <c r="C15" s="16" t="n">
        <v>4</v>
      </c>
      <c r="D15" s="5" t="s">
        <v>574</v>
      </c>
      <c r="E15" s="12" t="s">
        <v>55</v>
      </c>
      <c r="F15" s="12" t="s">
        <v>41</v>
      </c>
      <c r="G15" s="12" t="s">
        <v>575</v>
      </c>
      <c r="H15" s="4" t="s">
        <v>576</v>
      </c>
    </row>
    <row r="16" customFormat="false" ht="15" hidden="false" customHeight="false" outlineLevel="0" collapsed="false">
      <c r="A16" s="16" t="n">
        <v>46</v>
      </c>
      <c r="B16" s="5" t="s">
        <v>542</v>
      </c>
      <c r="C16" s="16" t="n">
        <v>6</v>
      </c>
      <c r="D16" s="4" t="s">
        <v>577</v>
      </c>
      <c r="E16" s="12" t="s">
        <v>41</v>
      </c>
      <c r="F16" s="12" t="s">
        <v>41</v>
      </c>
      <c r="G16" s="12" t="s">
        <v>578</v>
      </c>
      <c r="H16" s="4" t="s">
        <v>579</v>
      </c>
    </row>
    <row r="18" customFormat="false" ht="15" hidden="false" customHeight="false" outlineLevel="0" collapsed="false">
      <c r="A18" s="10" t="s">
        <v>580</v>
      </c>
    </row>
    <row r="19" customFormat="false" ht="15" hidden="false" customHeight="false" outlineLevel="0" collapsed="false">
      <c r="A19" s="33" t="s">
        <v>581</v>
      </c>
    </row>
    <row r="20" customFormat="false" ht="15" hidden="false" customHeight="false" outlineLevel="0" collapsed="false">
      <c r="A20" s="10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20.1" hidden="false" customHeight="false" outlineLevel="0" collapsed="false">
      <c r="A1" s="34" t="s">
        <v>583</v>
      </c>
    </row>
    <row r="3" customFormat="false" ht="15" hidden="false" customHeight="false" outlineLevel="0" collapsed="false">
      <c r="A3" s="30" t="s">
        <v>584</v>
      </c>
      <c r="B3" s="3" t="s">
        <v>585</v>
      </c>
      <c r="C3" s="3" t="s">
        <v>65</v>
      </c>
      <c r="D3" s="3" t="s">
        <v>66</v>
      </c>
      <c r="E3" s="3" t="s">
        <v>5</v>
      </c>
    </row>
    <row r="4" customFormat="false" ht="15" hidden="false" customHeight="false" outlineLevel="0" collapsed="false">
      <c r="A4" s="5" t="s">
        <v>586</v>
      </c>
      <c r="B4" s="5" t="s">
        <v>587</v>
      </c>
      <c r="C4" s="16" t="n">
        <f aca="false">'설계값(라이브)'!$C$6</f>
        <v>2200</v>
      </c>
      <c r="D4" s="12" t="s">
        <v>72</v>
      </c>
      <c r="E4" s="4"/>
    </row>
    <row r="5" customFormat="false" ht="15" hidden="false" customHeight="false" outlineLevel="0" collapsed="false">
      <c r="A5" s="5" t="s">
        <v>586</v>
      </c>
      <c r="B5" s="5" t="s">
        <v>588</v>
      </c>
      <c r="C5" s="16" t="n">
        <f aca="false">'설계값(라이브)'!$C$7</f>
        <v>380</v>
      </c>
      <c r="D5" s="12" t="s">
        <v>76</v>
      </c>
      <c r="E5" s="4"/>
    </row>
    <row r="6" customFormat="false" ht="15" hidden="false" customHeight="false" outlineLevel="0" collapsed="false">
      <c r="A6" s="5" t="s">
        <v>586</v>
      </c>
      <c r="B6" s="5" t="s">
        <v>589</v>
      </c>
      <c r="C6" s="16" t="n">
        <f aca="false">'설계값(라이브)'!$C$12</f>
        <v>4</v>
      </c>
      <c r="D6" s="12" t="s">
        <v>82</v>
      </c>
      <c r="E6" s="4"/>
    </row>
    <row r="7" customFormat="false" ht="15" hidden="false" customHeight="false" outlineLevel="0" collapsed="false">
      <c r="A7" s="5" t="s">
        <v>586</v>
      </c>
      <c r="B7" s="5" t="s">
        <v>590</v>
      </c>
      <c r="C7" s="16" t="n">
        <f aca="false">'설계값(라이브)'!$C$11</f>
        <v>60</v>
      </c>
      <c r="D7" s="12" t="s">
        <v>87</v>
      </c>
      <c r="E7" s="4"/>
    </row>
    <row r="8" customFormat="false" ht="15" hidden="false" customHeight="false" outlineLevel="0" collapsed="false">
      <c r="A8" s="5" t="s">
        <v>586</v>
      </c>
      <c r="B8" s="5" t="s">
        <v>591</v>
      </c>
      <c r="C8" s="16" t="n">
        <f aca="false">'설계값(라이브)'!$C$13</f>
        <v>1760</v>
      </c>
      <c r="D8" s="12" t="s">
        <v>92</v>
      </c>
      <c r="E8" s="4" t="s">
        <v>592</v>
      </c>
    </row>
    <row r="9" customFormat="false" ht="15" hidden="false" customHeight="false" outlineLevel="0" collapsed="false">
      <c r="A9" s="5" t="s">
        <v>586</v>
      </c>
      <c r="B9" s="5" t="s">
        <v>593</v>
      </c>
      <c r="C9" s="12" t="s">
        <v>594</v>
      </c>
      <c r="D9" s="12" t="s">
        <v>82</v>
      </c>
      <c r="E9" s="5" t="s">
        <v>595</v>
      </c>
    </row>
    <row r="10" customFormat="false" ht="15" hidden="false" customHeight="false" outlineLevel="0" collapsed="false">
      <c r="A10" s="5" t="s">
        <v>596</v>
      </c>
      <c r="B10" s="5" t="s">
        <v>597</v>
      </c>
      <c r="C10" s="16" t="n">
        <f aca="false">'설계값(라이브)'!$C$35</f>
        <v>155</v>
      </c>
      <c r="D10" s="12" t="s">
        <v>147</v>
      </c>
      <c r="E10" s="4"/>
    </row>
    <row r="11" customFormat="false" ht="15" hidden="false" customHeight="false" outlineLevel="0" collapsed="false">
      <c r="A11" s="5" t="s">
        <v>596</v>
      </c>
      <c r="B11" s="5" t="s">
        <v>598</v>
      </c>
      <c r="C11" s="16" t="n">
        <f aca="false">'설계값(라이브)'!$C$37</f>
        <v>98</v>
      </c>
      <c r="D11" s="12" t="s">
        <v>147</v>
      </c>
      <c r="E11" s="4"/>
    </row>
    <row r="12" customFormat="false" ht="15" hidden="false" customHeight="false" outlineLevel="0" collapsed="false">
      <c r="A12" s="5" t="s">
        <v>596</v>
      </c>
      <c r="B12" s="5" t="s">
        <v>599</v>
      </c>
      <c r="C12" s="16" t="n">
        <f aca="false">'설계값(라이브)'!$C$41</f>
        <v>135</v>
      </c>
      <c r="D12" s="12" t="s">
        <v>147</v>
      </c>
      <c r="E12" s="4"/>
    </row>
    <row r="13" customFormat="false" ht="15" hidden="false" customHeight="false" outlineLevel="0" collapsed="false">
      <c r="A13" s="5" t="s">
        <v>596</v>
      </c>
      <c r="B13" s="5" t="s">
        <v>600</v>
      </c>
      <c r="C13" s="16" t="n">
        <f aca="false">'설계값(라이브)'!$C$42</f>
        <v>0.96</v>
      </c>
      <c r="D13" s="12" t="s">
        <v>82</v>
      </c>
      <c r="E13" s="4"/>
    </row>
    <row r="14" customFormat="false" ht="15" hidden="false" customHeight="false" outlineLevel="0" collapsed="false">
      <c r="A14" s="5" t="s">
        <v>596</v>
      </c>
      <c r="B14" s="5" t="s">
        <v>601</v>
      </c>
      <c r="C14" s="16" t="str">
        <f aca="false">'설계값(라이브)'!$C$43</f>
        <v>M400-50A (50PN400)</v>
      </c>
      <c r="D14" s="12" t="s">
        <v>82</v>
      </c>
      <c r="E14" s="4" t="s">
        <v>602</v>
      </c>
    </row>
    <row r="15" customFormat="false" ht="15" hidden="false" customHeight="false" outlineLevel="0" collapsed="false">
      <c r="A15" s="5" t="s">
        <v>596</v>
      </c>
      <c r="B15" s="5" t="s">
        <v>603</v>
      </c>
      <c r="C15" s="16" t="n">
        <f aca="false">'설계값(라이브)'!$C$46</f>
        <v>36</v>
      </c>
      <c r="D15" s="12" t="s">
        <v>82</v>
      </c>
      <c r="E15" s="4"/>
    </row>
    <row r="16" customFormat="false" ht="15" hidden="false" customHeight="false" outlineLevel="0" collapsed="false">
      <c r="A16" s="5" t="s">
        <v>596</v>
      </c>
      <c r="B16" s="5" t="s">
        <v>604</v>
      </c>
      <c r="C16" s="12" t="s">
        <v>605</v>
      </c>
      <c r="D16" s="12" t="s">
        <v>82</v>
      </c>
      <c r="E16" s="4" t="s">
        <v>606</v>
      </c>
    </row>
    <row r="17" customFormat="false" ht="15" hidden="false" customHeight="false" outlineLevel="0" collapsed="false">
      <c r="A17" s="5" t="s">
        <v>607</v>
      </c>
      <c r="B17" s="5" t="s">
        <v>252</v>
      </c>
      <c r="C17" s="16" t="n">
        <f aca="false">'설계값(라이브)'!$C$76</f>
        <v>0.5</v>
      </c>
      <c r="D17" s="12" t="s">
        <v>147</v>
      </c>
      <c r="E17" s="4"/>
    </row>
    <row r="18" customFormat="false" ht="15" hidden="false" customHeight="false" outlineLevel="0" collapsed="false">
      <c r="A18" s="5" t="s">
        <v>607</v>
      </c>
      <c r="B18" s="5" t="s">
        <v>254</v>
      </c>
      <c r="C18" s="16" t="n">
        <f aca="false">'설계값(라이브)'!$C$77</f>
        <v>1</v>
      </c>
      <c r="D18" s="12" t="s">
        <v>147</v>
      </c>
      <c r="E18" s="4"/>
    </row>
    <row r="19" customFormat="false" ht="15" hidden="false" customHeight="false" outlineLevel="0" collapsed="false">
      <c r="A19" s="5" t="s">
        <v>607</v>
      </c>
      <c r="B19" s="5" t="s">
        <v>277</v>
      </c>
      <c r="C19" s="21" t="n">
        <f aca="false">'설계값(라이브)'!$C$88</f>
        <v>10.8103474910823</v>
      </c>
      <c r="D19" s="12" t="s">
        <v>147</v>
      </c>
      <c r="E19" s="4"/>
    </row>
    <row r="20" customFormat="false" ht="15" hidden="false" customHeight="false" outlineLevel="0" collapsed="false">
      <c r="A20" s="5" t="s">
        <v>607</v>
      </c>
      <c r="B20" s="5" t="s">
        <v>256</v>
      </c>
      <c r="C20" s="16" t="n">
        <f aca="false">'설계값(라이브)'!$C$78</f>
        <v>2.5</v>
      </c>
      <c r="D20" s="12" t="s">
        <v>147</v>
      </c>
      <c r="E20" s="4"/>
    </row>
    <row r="21" customFormat="false" ht="15" hidden="false" customHeight="false" outlineLevel="0" collapsed="false">
      <c r="A21" s="5" t="s">
        <v>607</v>
      </c>
      <c r="B21" s="5" t="s">
        <v>271</v>
      </c>
      <c r="C21" s="21" t="n">
        <f aca="false">'설계값(라이브)'!$C$85</f>
        <v>4.86197235474909</v>
      </c>
      <c r="D21" s="12" t="s">
        <v>147</v>
      </c>
      <c r="E21" s="4"/>
    </row>
    <row r="22" customFormat="false" ht="15" hidden="false" customHeight="false" outlineLevel="0" collapsed="false">
      <c r="A22" s="5" t="s">
        <v>607</v>
      </c>
      <c r="B22" s="5" t="s">
        <v>273</v>
      </c>
      <c r="C22" s="21" t="n">
        <f aca="false">'설계값(라이브)'!$C$86</f>
        <v>7.39398044254217</v>
      </c>
      <c r="D22" s="12" t="s">
        <v>147</v>
      </c>
      <c r="E22" s="4"/>
    </row>
    <row r="23" customFormat="false" ht="15" hidden="false" customHeight="false" outlineLevel="0" collapsed="false">
      <c r="A23" s="5" t="s">
        <v>608</v>
      </c>
      <c r="B23" s="5" t="s">
        <v>609</v>
      </c>
      <c r="C23" s="16" t="n">
        <f aca="false">'설계값(라이브)'!$C$50</f>
        <v>2</v>
      </c>
      <c r="D23" s="12" t="s">
        <v>82</v>
      </c>
      <c r="E23" s="4"/>
    </row>
    <row r="24" customFormat="false" ht="15" hidden="false" customHeight="false" outlineLevel="0" collapsed="false">
      <c r="A24" s="5" t="s">
        <v>608</v>
      </c>
      <c r="B24" s="5" t="s">
        <v>610</v>
      </c>
      <c r="C24" s="12" t="s">
        <v>611</v>
      </c>
      <c r="D24" s="12" t="s">
        <v>82</v>
      </c>
      <c r="E24" s="4"/>
    </row>
    <row r="25" customFormat="false" ht="15" hidden="false" customHeight="false" outlineLevel="0" collapsed="false">
      <c r="A25" s="5" t="s">
        <v>608</v>
      </c>
      <c r="B25" s="5" t="s">
        <v>612</v>
      </c>
      <c r="C25" s="16" t="n">
        <f aca="false">'설계값(라이브)'!$C$52</f>
        <v>1</v>
      </c>
      <c r="D25" s="12" t="s">
        <v>82</v>
      </c>
      <c r="E25" s="4"/>
    </row>
    <row r="26" customFormat="false" ht="15" hidden="false" customHeight="false" outlineLevel="0" collapsed="false">
      <c r="A26" s="5" t="s">
        <v>608</v>
      </c>
      <c r="B26" s="5" t="s">
        <v>613</v>
      </c>
      <c r="C26" s="16" t="n">
        <f aca="false">'설계값(라이브)'!$C$69</f>
        <v>30</v>
      </c>
      <c r="D26" s="12" t="s">
        <v>82</v>
      </c>
      <c r="E26" s="4"/>
    </row>
    <row r="27" customFormat="false" ht="15" hidden="false" customHeight="false" outlineLevel="0" collapsed="false">
      <c r="A27" s="5" t="s">
        <v>608</v>
      </c>
      <c r="B27" s="5" t="s">
        <v>614</v>
      </c>
      <c r="C27" s="16" t="n">
        <f aca="false">'설계값(라이브)'!$C$51</f>
        <v>8</v>
      </c>
      <c r="D27" s="12" t="s">
        <v>615</v>
      </c>
      <c r="E27" s="4"/>
    </row>
    <row r="28" customFormat="false" ht="15" hidden="false" customHeight="false" outlineLevel="0" collapsed="false">
      <c r="A28" s="5" t="s">
        <v>608</v>
      </c>
      <c r="B28" s="5" t="s">
        <v>616</v>
      </c>
      <c r="C28" s="16" t="n">
        <f aca="false">'설계값(라이브)'!$C$53</f>
        <v>2</v>
      </c>
      <c r="D28" s="12" t="s">
        <v>82</v>
      </c>
      <c r="E28" s="4"/>
    </row>
    <row r="29" customFormat="false" ht="15" hidden="false" customHeight="false" outlineLevel="0" collapsed="false">
      <c r="A29" s="5" t="s">
        <v>608</v>
      </c>
      <c r="B29" s="5" t="s">
        <v>617</v>
      </c>
      <c r="C29" s="16" t="n">
        <f aca="false">'설계값(라이브)'!$C$54</f>
        <v>0.9</v>
      </c>
      <c r="D29" s="12" t="s">
        <v>147</v>
      </c>
      <c r="E29" s="4" t="s">
        <v>618</v>
      </c>
    </row>
    <row r="30" customFormat="false" ht="15" hidden="false" customHeight="false" outlineLevel="0" collapsed="false">
      <c r="A30" s="5" t="s">
        <v>608</v>
      </c>
      <c r="B30" s="5" t="s">
        <v>619</v>
      </c>
      <c r="C30" s="19" t="n">
        <f aca="false">'설계값(라이브)'!$C$100</f>
        <v>121.530957067629</v>
      </c>
      <c r="D30" s="12" t="s">
        <v>147</v>
      </c>
      <c r="E30" s="4" t="s">
        <v>620</v>
      </c>
    </row>
    <row r="31" customFormat="false" ht="15" hidden="false" customHeight="false" outlineLevel="0" collapsed="false">
      <c r="A31" s="5" t="s">
        <v>621</v>
      </c>
      <c r="B31" s="5" t="s">
        <v>597</v>
      </c>
      <c r="C31" s="19" t="n">
        <f aca="false">'설계값(라이브)'!$C$40</f>
        <v>97.4</v>
      </c>
      <c r="D31" s="12" t="s">
        <v>147</v>
      </c>
      <c r="E31" s="4"/>
    </row>
    <row r="32" customFormat="false" ht="15" hidden="false" customHeight="false" outlineLevel="0" collapsed="false">
      <c r="A32" s="5" t="s">
        <v>621</v>
      </c>
      <c r="B32" s="5" t="s">
        <v>622</v>
      </c>
      <c r="C32" s="16" t="n">
        <f aca="false">'설계값(라이브)'!$C$44</f>
        <v>36</v>
      </c>
      <c r="D32" s="12" t="s">
        <v>147</v>
      </c>
      <c r="E32" s="4"/>
    </row>
    <row r="33" customFormat="false" ht="15" hidden="false" customHeight="false" outlineLevel="0" collapsed="false">
      <c r="A33" s="5" t="s">
        <v>621</v>
      </c>
      <c r="B33" s="5" t="s">
        <v>599</v>
      </c>
      <c r="C33" s="16" t="n">
        <f aca="false">'설계값(라이브)'!$C$41</f>
        <v>135</v>
      </c>
      <c r="D33" s="12" t="s">
        <v>147</v>
      </c>
      <c r="E33" s="4"/>
    </row>
    <row r="34" customFormat="false" ht="15" hidden="false" customHeight="false" outlineLevel="0" collapsed="false">
      <c r="A34" s="5" t="s">
        <v>621</v>
      </c>
      <c r="B34" s="5" t="s">
        <v>603</v>
      </c>
      <c r="C34" s="16" t="n">
        <f aca="false">'설계값(라이브)'!$C$48</f>
        <v>28</v>
      </c>
      <c r="D34" s="12" t="s">
        <v>82</v>
      </c>
      <c r="E34" s="4" t="s">
        <v>623</v>
      </c>
    </row>
    <row r="35" customFormat="false" ht="15" hidden="false" customHeight="false" outlineLevel="0" collapsed="false">
      <c r="A35" s="5" t="s">
        <v>621</v>
      </c>
      <c r="B35" s="5" t="s">
        <v>604</v>
      </c>
      <c r="C35" s="12" t="s">
        <v>624</v>
      </c>
      <c r="D35" s="12" t="s">
        <v>82</v>
      </c>
      <c r="E35" s="4" t="s">
        <v>625</v>
      </c>
    </row>
    <row r="36" customFormat="false" ht="15" hidden="false" customHeight="false" outlineLevel="0" collapsed="false">
      <c r="A36" s="5" t="s">
        <v>621</v>
      </c>
      <c r="B36" s="5" t="s">
        <v>626</v>
      </c>
      <c r="C36" s="16" t="n">
        <f aca="false">'설계값(라이브)'!$C$49</f>
        <v>1</v>
      </c>
      <c r="D36" s="12" t="s">
        <v>627</v>
      </c>
      <c r="E36" s="5" t="s">
        <v>628</v>
      </c>
    </row>
    <row r="37" customFormat="false" ht="15" hidden="false" customHeight="false" outlineLevel="0" collapsed="false">
      <c r="A37" s="5" t="s">
        <v>629</v>
      </c>
      <c r="B37" s="5" t="s">
        <v>252</v>
      </c>
      <c r="C37" s="16" t="n">
        <f aca="false">'설계값(라이브)'!$C$138</f>
        <v>0.5</v>
      </c>
      <c r="D37" s="12" t="s">
        <v>147</v>
      </c>
      <c r="E37" s="4" t="s">
        <v>630</v>
      </c>
    </row>
    <row r="38" customFormat="false" ht="15" hidden="false" customHeight="false" outlineLevel="0" collapsed="false">
      <c r="A38" s="5" t="s">
        <v>629</v>
      </c>
      <c r="B38" s="5" t="s">
        <v>277</v>
      </c>
      <c r="C38" s="19" t="n">
        <f aca="false">'설계값(라이브)'!$C$143</f>
        <v>15.8</v>
      </c>
      <c r="D38" s="12" t="s">
        <v>147</v>
      </c>
      <c r="E38" s="4"/>
    </row>
    <row r="39" customFormat="false" ht="15" hidden="false" customHeight="false" outlineLevel="0" collapsed="false">
      <c r="A39" s="5" t="s">
        <v>629</v>
      </c>
      <c r="B39" s="5" t="s">
        <v>256</v>
      </c>
      <c r="C39" s="16" t="n">
        <f aca="false">'설계값(라이브)'!$C$139</f>
        <v>1</v>
      </c>
      <c r="D39" s="12" t="s">
        <v>147</v>
      </c>
      <c r="E39" s="4"/>
    </row>
    <row r="40" customFormat="false" ht="15" hidden="false" customHeight="false" outlineLevel="0" collapsed="false">
      <c r="A40" s="5" t="s">
        <v>629</v>
      </c>
      <c r="B40" s="5" t="s">
        <v>271</v>
      </c>
      <c r="C40" s="16" t="n">
        <f aca="false">'설계값(라이브)'!$C$141</f>
        <v>5.4</v>
      </c>
      <c r="D40" s="12" t="s">
        <v>147</v>
      </c>
      <c r="E40" s="4"/>
    </row>
    <row r="41" customFormat="false" ht="15" hidden="false" customHeight="false" outlineLevel="0" collapsed="false">
      <c r="A41" s="5" t="s">
        <v>629</v>
      </c>
      <c r="B41" s="5" t="s">
        <v>273</v>
      </c>
      <c r="C41" s="16" t="n">
        <f aca="false">'설계값(라이브)'!$C$142</f>
        <v>2</v>
      </c>
      <c r="D41" s="12" t="s">
        <v>147</v>
      </c>
      <c r="E41" s="4"/>
    </row>
    <row r="42" customFormat="false" ht="15" hidden="false" customHeight="false" outlineLevel="0" collapsed="false">
      <c r="A42" s="5" t="s">
        <v>631</v>
      </c>
      <c r="B42" s="5" t="s">
        <v>632</v>
      </c>
      <c r="C42" s="12" t="s">
        <v>633</v>
      </c>
      <c r="D42" s="12" t="s">
        <v>82</v>
      </c>
      <c r="E42" s="5" t="s">
        <v>634</v>
      </c>
    </row>
    <row r="43" customFormat="false" ht="15" hidden="false" customHeight="false" outlineLevel="0" collapsed="false">
      <c r="A43" s="5" t="s">
        <v>631</v>
      </c>
      <c r="B43" s="5" t="s">
        <v>635</v>
      </c>
      <c r="C43" s="16" t="n">
        <f aca="false">'설계값(라이브)'!$C$128</f>
        <v>20</v>
      </c>
      <c r="D43" s="12" t="s">
        <v>147</v>
      </c>
      <c r="E43" s="4"/>
    </row>
    <row r="44" customFormat="false" ht="15" hidden="false" customHeight="false" outlineLevel="0" collapsed="false">
      <c r="A44" s="5" t="s">
        <v>631</v>
      </c>
      <c r="B44" s="5" t="s">
        <v>636</v>
      </c>
      <c r="C44" s="16" t="n">
        <f aca="false">'설계값(라이브)'!$C$129</f>
        <v>12</v>
      </c>
      <c r="D44" s="12" t="s">
        <v>147</v>
      </c>
      <c r="E44" s="4"/>
    </row>
    <row r="45" customFormat="false" ht="15" hidden="false" customHeight="false" outlineLevel="0" collapsed="false">
      <c r="A45" s="5" t="s">
        <v>631</v>
      </c>
      <c r="B45" s="5" t="s">
        <v>637</v>
      </c>
      <c r="C45" s="12" t="s">
        <v>633</v>
      </c>
      <c r="D45" s="12" t="s">
        <v>82</v>
      </c>
      <c r="E45" s="4"/>
    </row>
    <row r="46" customFormat="false" ht="15" hidden="false" customHeight="false" outlineLevel="0" collapsed="false">
      <c r="A46" s="5" t="s">
        <v>638</v>
      </c>
      <c r="B46" s="5" t="s">
        <v>639</v>
      </c>
      <c r="C46" s="16" t="n">
        <f aca="false">'설계값(라이브)'!$C$33</f>
        <v>0.008</v>
      </c>
      <c r="D46" s="12" t="s">
        <v>104</v>
      </c>
      <c r="E46" s="5" t="s">
        <v>640</v>
      </c>
    </row>
    <row r="47" customFormat="false" ht="15" hidden="false" customHeight="false" outlineLevel="0" collapsed="false">
      <c r="A47" s="5" t="s">
        <v>638</v>
      </c>
      <c r="B47" s="5" t="s">
        <v>641</v>
      </c>
      <c r="C47" s="21" t="n">
        <f aca="false">'설계값(라이브)'!$C$159</f>
        <v>3.60265199925777</v>
      </c>
      <c r="D47" s="12" t="s">
        <v>642</v>
      </c>
      <c r="E47" s="5" t="s">
        <v>643</v>
      </c>
    </row>
    <row r="48" customFormat="false" ht="15" hidden="false" customHeight="false" outlineLevel="0" collapsed="false">
      <c r="A48" s="5" t="s">
        <v>638</v>
      </c>
      <c r="B48" s="5" t="s">
        <v>644</v>
      </c>
      <c r="C48" s="16" t="n">
        <f aca="false">'설계값(라이브)'!$C$156</f>
        <v>10</v>
      </c>
      <c r="D48" s="12" t="s">
        <v>416</v>
      </c>
      <c r="E48" s="4"/>
    </row>
    <row r="49" customFormat="false" ht="15" hidden="false" customHeight="false" outlineLevel="0" collapsed="false">
      <c r="A49" s="4" t="s">
        <v>645</v>
      </c>
      <c r="B49" s="5" t="s">
        <v>646</v>
      </c>
      <c r="C49" s="16" t="n">
        <f aca="false">'설계값(라이브)'!$C$8</f>
        <v>4.73</v>
      </c>
      <c r="D49" s="12" t="s">
        <v>79</v>
      </c>
      <c r="E49" s="5" t="s">
        <v>647</v>
      </c>
    </row>
    <row r="50" customFormat="false" ht="15" hidden="false" customHeight="false" outlineLevel="0" collapsed="false">
      <c r="A50" s="4" t="s">
        <v>645</v>
      </c>
      <c r="B50" s="5" t="s">
        <v>648</v>
      </c>
      <c r="C50" s="26" t="n">
        <f aca="false">'설계값(라이브)'!$C$9</f>
        <v>0.895</v>
      </c>
      <c r="D50" s="12" t="s">
        <v>82</v>
      </c>
      <c r="E50" s="5" t="s">
        <v>649</v>
      </c>
    </row>
    <row r="51" customFormat="false" ht="15" hidden="false" customHeight="false" outlineLevel="0" collapsed="false">
      <c r="A51" s="4" t="s">
        <v>645</v>
      </c>
      <c r="B51" s="5" t="s">
        <v>650</v>
      </c>
      <c r="C51" s="16" t="n">
        <f aca="false">'설계값(라이브)'!$C$10</f>
        <v>0.79</v>
      </c>
      <c r="D51" s="12" t="s">
        <v>82</v>
      </c>
      <c r="E51" s="5" t="s">
        <v>651</v>
      </c>
    </row>
    <row r="52" customFormat="false" ht="15" hidden="false" customHeight="false" outlineLevel="0" collapsed="false">
      <c r="A52" s="4" t="s">
        <v>645</v>
      </c>
      <c r="B52" s="5" t="s">
        <v>652</v>
      </c>
      <c r="C52" s="16" t="n">
        <f aca="false">'설계값(라이브)'!$C$16</f>
        <v>6.5</v>
      </c>
      <c r="D52" s="12" t="s">
        <v>82</v>
      </c>
      <c r="E52" s="5" t="s">
        <v>653</v>
      </c>
    </row>
    <row r="53" customFormat="false" ht="15" hidden="false" customHeight="false" outlineLevel="0" collapsed="false">
      <c r="A53" s="4" t="s">
        <v>645</v>
      </c>
      <c r="B53" s="5" t="s">
        <v>654</v>
      </c>
      <c r="C53" s="16" t="n">
        <f aca="false">'설계값(라이브)'!$C$14</f>
        <v>2.1</v>
      </c>
      <c r="D53" s="12" t="s">
        <v>82</v>
      </c>
      <c r="E53" s="5" t="s">
        <v>655</v>
      </c>
    </row>
    <row r="54" customFormat="false" ht="15" hidden="false" customHeight="false" outlineLevel="0" collapsed="false">
      <c r="A54" s="4" t="s">
        <v>645</v>
      </c>
      <c r="B54" s="5" t="s">
        <v>656</v>
      </c>
      <c r="C54" s="16" t="n">
        <f aca="false">'설계값(라이브)'!$C$15</f>
        <v>2.5</v>
      </c>
      <c r="D54" s="12" t="s">
        <v>82</v>
      </c>
      <c r="E54" s="5" t="s">
        <v>655</v>
      </c>
    </row>
    <row r="55" customFormat="false" ht="15" hidden="false" customHeight="false" outlineLevel="0" collapsed="false">
      <c r="A55" s="4" t="s">
        <v>645</v>
      </c>
      <c r="B55" s="5" t="s">
        <v>657</v>
      </c>
      <c r="C55" s="23" t="n">
        <f aca="false">'설계값(라이브)'!$C$103</f>
        <v>1.62016992986236</v>
      </c>
      <c r="D55" s="12" t="s">
        <v>140</v>
      </c>
      <c r="E55" s="5" t="s">
        <v>653</v>
      </c>
    </row>
    <row r="56" customFormat="false" ht="15" hidden="false" customHeight="false" outlineLevel="0" collapsed="false">
      <c r="A56" s="4" t="s">
        <v>645</v>
      </c>
      <c r="B56" s="5" t="s">
        <v>658</v>
      </c>
      <c r="C56" s="21" t="n">
        <f aca="false">'설계값(라이브)'!$C$176</f>
        <v>2.6225479144322</v>
      </c>
      <c r="D56" s="12" t="s">
        <v>79</v>
      </c>
      <c r="E56" s="5" t="s"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8" min="7" style="0" width="28"/>
  </cols>
  <sheetData>
    <row r="1" customFormat="false" ht="20.1" hidden="false" customHeight="false" outlineLevel="0" collapsed="false">
      <c r="A1" s="34" t="s">
        <v>660</v>
      </c>
    </row>
    <row r="3" customFormat="false" ht="15" hidden="false" customHeight="false" outlineLevel="0" collapsed="false">
      <c r="A3" s="35" t="s">
        <v>661</v>
      </c>
      <c r="C3" s="36" t="n">
        <f aca="false">'설계값(라이브)'!$C$68</f>
        <v>180</v>
      </c>
    </row>
    <row r="4" customFormat="false" ht="15" hidden="false" customHeight="false" outlineLevel="0" collapsed="false">
      <c r="A4" s="35" t="s">
        <v>662</v>
      </c>
      <c r="C4" s="36" t="n">
        <f aca="false">'설계값(라이브)'!$C$67</f>
        <v>15</v>
      </c>
    </row>
    <row r="6" customFormat="false" ht="15" hidden="false" customHeight="false" outlineLevel="0" collapsed="false">
      <c r="A6" s="3" t="s">
        <v>663</v>
      </c>
      <c r="B6" s="3" t="s">
        <v>664</v>
      </c>
      <c r="C6" s="3" t="s">
        <v>665</v>
      </c>
      <c r="D6" s="3" t="s">
        <v>666</v>
      </c>
      <c r="E6" s="3" t="s">
        <v>667</v>
      </c>
      <c r="F6" s="3" t="s">
        <v>668</v>
      </c>
      <c r="G6" s="3" t="s">
        <v>669</v>
      </c>
      <c r="H6" s="3" t="s">
        <v>5</v>
      </c>
    </row>
    <row r="7" customFormat="false" ht="15" hidden="false" customHeight="false" outlineLevel="0" collapsed="false">
      <c r="A7" s="12" t="s">
        <v>670</v>
      </c>
      <c r="B7" s="16" t="n">
        <v>0</v>
      </c>
      <c r="C7" s="26" t="n">
        <f aca="false">B7/$C$3</f>
        <v>0</v>
      </c>
      <c r="D7" s="5" t="s">
        <v>82</v>
      </c>
      <c r="E7" s="12" t="s">
        <v>671</v>
      </c>
      <c r="F7" s="16" t="s">
        <v>672</v>
      </c>
      <c r="G7" s="5" t="s">
        <v>673</v>
      </c>
      <c r="H7" s="4" t="s">
        <v>674</v>
      </c>
    </row>
    <row r="8" customFormat="false" ht="15" hidden="false" customHeight="false" outlineLevel="0" collapsed="false">
      <c r="A8" s="12" t="s">
        <v>675</v>
      </c>
      <c r="B8" s="16" t="n">
        <v>4</v>
      </c>
      <c r="C8" s="26" t="n">
        <f aca="false">B8/$C$3</f>
        <v>0.0222222222222222</v>
      </c>
      <c r="D8" s="4" t="s">
        <v>676</v>
      </c>
      <c r="E8" s="12" t="s">
        <v>677</v>
      </c>
      <c r="F8" s="16" t="s">
        <v>672</v>
      </c>
      <c r="G8" s="4" t="s">
        <v>678</v>
      </c>
      <c r="H8" s="4" t="s">
        <v>679</v>
      </c>
    </row>
    <row r="9" customFormat="false" ht="15" hidden="false" customHeight="false" outlineLevel="0" collapsed="false">
      <c r="A9" s="12" t="s">
        <v>680</v>
      </c>
      <c r="B9" s="16" t="n">
        <v>8</v>
      </c>
      <c r="C9" s="26" t="n">
        <f aca="false">B9/$C$3</f>
        <v>0.0444444444444444</v>
      </c>
      <c r="D9" s="4" t="s">
        <v>681</v>
      </c>
      <c r="E9" s="12" t="s">
        <v>671</v>
      </c>
      <c r="F9" s="16" t="s">
        <v>672</v>
      </c>
      <c r="G9" s="5" t="s">
        <v>82</v>
      </c>
      <c r="H9" s="4"/>
    </row>
    <row r="10" customFormat="false" ht="15" hidden="false" customHeight="false" outlineLevel="0" collapsed="false">
      <c r="A10" s="12" t="s">
        <v>682</v>
      </c>
      <c r="B10" s="16" t="n">
        <v>12</v>
      </c>
      <c r="C10" s="26" t="n">
        <f aca="false">B10/$C$3</f>
        <v>0.0666666666666667</v>
      </c>
      <c r="D10" s="4" t="s">
        <v>683</v>
      </c>
      <c r="E10" s="12" t="s">
        <v>671</v>
      </c>
      <c r="F10" s="16" t="s">
        <v>672</v>
      </c>
      <c r="G10" s="4" t="s">
        <v>684</v>
      </c>
      <c r="H10" s="4"/>
    </row>
    <row r="11" customFormat="false" ht="15" hidden="false" customHeight="false" outlineLevel="0" collapsed="false">
      <c r="A11" s="12" t="s">
        <v>685</v>
      </c>
      <c r="B11" s="16" t="n">
        <f aca="false">C4</f>
        <v>15</v>
      </c>
      <c r="C11" s="26" t="n">
        <f aca="false">B11/$C$3</f>
        <v>0.0833333333333333</v>
      </c>
      <c r="D11" s="4" t="s">
        <v>686</v>
      </c>
      <c r="E11" s="12" t="s">
        <v>671</v>
      </c>
      <c r="F11" s="16" t="s">
        <v>672</v>
      </c>
      <c r="G11" s="5" t="s">
        <v>82</v>
      </c>
      <c r="H11" s="5" t="s">
        <v>687</v>
      </c>
    </row>
    <row r="12" customFormat="false" ht="15" hidden="false" customHeight="false" outlineLevel="0" collapsed="false">
      <c r="A12" s="12" t="s">
        <v>688</v>
      </c>
      <c r="B12" s="16" t="n">
        <f aca="false">2*C4</f>
        <v>30</v>
      </c>
      <c r="C12" s="26" t="n">
        <f aca="false">B12/$C$3</f>
        <v>0.166666666666667</v>
      </c>
      <c r="D12" s="4" t="s">
        <v>689</v>
      </c>
      <c r="E12" s="12" t="s">
        <v>671</v>
      </c>
      <c r="F12" s="16" t="s">
        <v>672</v>
      </c>
      <c r="G12" s="5" t="s">
        <v>82</v>
      </c>
      <c r="H12" s="4"/>
    </row>
    <row r="13" customFormat="false" ht="15" hidden="false" customHeight="false" outlineLevel="0" collapsed="false">
      <c r="A13" s="12" t="s">
        <v>690</v>
      </c>
      <c r="B13" s="16" t="n">
        <v>4</v>
      </c>
      <c r="C13" s="26" t="n">
        <f aca="false">B13/$C$3</f>
        <v>0.0222222222222222</v>
      </c>
      <c r="D13" s="4" t="s">
        <v>676</v>
      </c>
      <c r="E13" s="12" t="s">
        <v>671</v>
      </c>
      <c r="F13" s="12" t="s">
        <v>691</v>
      </c>
      <c r="G13" s="5" t="s">
        <v>82</v>
      </c>
      <c r="H13" s="4" t="s">
        <v>692</v>
      </c>
    </row>
    <row r="14" customFormat="false" ht="15" hidden="false" customHeight="false" outlineLevel="0" collapsed="false">
      <c r="A14" s="12" t="s">
        <v>693</v>
      </c>
      <c r="B14" s="16" t="n">
        <v>4</v>
      </c>
      <c r="C14" s="26" t="n">
        <f aca="false">B14/$C$3</f>
        <v>0.0222222222222222</v>
      </c>
      <c r="D14" s="4" t="s">
        <v>676</v>
      </c>
      <c r="E14" s="12" t="s">
        <v>694</v>
      </c>
      <c r="F14" s="16" t="s">
        <v>672</v>
      </c>
      <c r="G14" s="5" t="s">
        <v>82</v>
      </c>
      <c r="H14" s="4" t="s">
        <v>695</v>
      </c>
    </row>
    <row r="16" customFormat="false" ht="15" hidden="false" customHeight="false" outlineLevel="0" collapsed="false">
      <c r="A16" s="10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6"/>
  </cols>
  <sheetData>
    <row r="1" customFormat="false" ht="20.1" hidden="false" customHeight="false" outlineLevel="0" collapsed="false">
      <c r="A1" s="29" t="s">
        <v>697</v>
      </c>
    </row>
    <row r="3" customFormat="false" ht="15" hidden="false" customHeight="false" outlineLevel="0" collapsed="false">
      <c r="A3" s="3" t="s">
        <v>63</v>
      </c>
      <c r="B3" s="3" t="s">
        <v>698</v>
      </c>
      <c r="C3" s="3" t="s">
        <v>65</v>
      </c>
      <c r="D3" s="3" t="s">
        <v>66</v>
      </c>
      <c r="E3" s="3" t="s">
        <v>699</v>
      </c>
    </row>
    <row r="4" customFormat="false" ht="15" hidden="false" customHeight="false" outlineLevel="0" collapsed="false">
      <c r="A4" s="4" t="s">
        <v>700</v>
      </c>
      <c r="B4" s="5" t="s">
        <v>701</v>
      </c>
      <c r="C4" s="19" t="n">
        <f aca="false">'설계값(라이브)'!$C$13/60</f>
        <v>29.3333333333333</v>
      </c>
      <c r="D4" s="12" t="s">
        <v>87</v>
      </c>
      <c r="E4" s="4" t="s">
        <v>702</v>
      </c>
    </row>
    <row r="5" customFormat="false" ht="15" hidden="false" customHeight="false" outlineLevel="0" collapsed="false">
      <c r="A5" s="4" t="s">
        <v>703</v>
      </c>
      <c r="B5" s="5" t="s">
        <v>704</v>
      </c>
      <c r="C5" s="19" t="n">
        <f aca="false">'설계값(라이브)'!$C$25*'설계값(라이브)'!$C$11</f>
        <v>1.33333333333333</v>
      </c>
      <c r="D5" s="12" t="s">
        <v>87</v>
      </c>
      <c r="E5" s="4"/>
    </row>
    <row r="6" customFormat="false" ht="15" hidden="false" customHeight="false" outlineLevel="0" collapsed="false">
      <c r="A6" s="4" t="s">
        <v>705</v>
      </c>
      <c r="B6" s="5" t="s">
        <v>706</v>
      </c>
      <c r="C6" s="19" t="n">
        <f aca="false">'설계값(라이브)'!$C$11*('설계값(라이브)'!$C$48*(1-'설계값(라이브)'!$C$25)/'설계값(라이브)'!$C$23-1)</f>
        <v>761.333333333333</v>
      </c>
      <c r="D6" s="12" t="s">
        <v>87</v>
      </c>
      <c r="E6" s="5" t="s">
        <v>707</v>
      </c>
    </row>
    <row r="7" customFormat="false" ht="15" hidden="false" customHeight="false" outlineLevel="0" collapsed="false">
      <c r="A7" s="4" t="s">
        <v>708</v>
      </c>
      <c r="B7" s="5" t="s">
        <v>709</v>
      </c>
      <c r="C7" s="19" t="n">
        <f aca="false">'설계값(라이브)'!$C$11*('설계값(라이브)'!$C$48*(1-'설계값(라이브)'!$C$25)/'설계값(라이브)'!$C$23+1)</f>
        <v>881.333333333333</v>
      </c>
      <c r="D7" s="12" t="s">
        <v>87</v>
      </c>
      <c r="E7" s="4" t="s">
        <v>710</v>
      </c>
    </row>
    <row r="8" customFormat="false" ht="15" hidden="false" customHeight="false" outlineLevel="0" collapsed="false">
      <c r="A8" s="4" t="s">
        <v>711</v>
      </c>
      <c r="B8" s="5" t="s">
        <v>712</v>
      </c>
      <c r="C8" s="19" t="n">
        <f aca="false">'설계값(라이브)'!$C$48*'설계값(라이브)'!$C$13/60</f>
        <v>821.333333333333</v>
      </c>
      <c r="D8" s="12" t="s">
        <v>87</v>
      </c>
      <c r="E8" s="4" t="s">
        <v>713</v>
      </c>
    </row>
    <row r="9" customFormat="false" ht="15" hidden="false" customHeight="false" outlineLevel="0" collapsed="false">
      <c r="A9" s="4" t="s">
        <v>714</v>
      </c>
      <c r="B9" s="5" t="s">
        <v>715</v>
      </c>
      <c r="C9" s="19" t="n">
        <f aca="false">('설계값(라이브)'!$C$24-'설계값(라이브)'!$C$13)/60*'설계값(라이브)'!$C$12</f>
        <v>2.66666666666667</v>
      </c>
      <c r="D9" s="12" t="s">
        <v>87</v>
      </c>
      <c r="E9" s="4" t="s">
        <v>716</v>
      </c>
    </row>
    <row r="10" customFormat="false" ht="26.85" hidden="false" customHeight="false" outlineLevel="0" collapsed="false">
      <c r="A10" s="5" t="s">
        <v>717</v>
      </c>
      <c r="B10" s="5" t="s">
        <v>718</v>
      </c>
      <c r="C10" s="16" t="s">
        <v>719</v>
      </c>
      <c r="D10" s="12" t="s">
        <v>87</v>
      </c>
      <c r="E10" s="5" t="s">
        <v>720</v>
      </c>
    </row>
    <row r="11" customFormat="false" ht="15" hidden="false" customHeight="false" outlineLevel="0" collapsed="false">
      <c r="A11" s="4" t="s">
        <v>721</v>
      </c>
      <c r="B11" s="4" t="s">
        <v>722</v>
      </c>
      <c r="C11" s="12" t="s">
        <v>723</v>
      </c>
      <c r="D11" s="12" t="s">
        <v>724</v>
      </c>
      <c r="E11" s="4" t="s">
        <v>725</v>
      </c>
    </row>
    <row r="12" customFormat="false" ht="15" hidden="false" customHeight="false" outlineLevel="0" collapsed="false">
      <c r="A12" s="5" t="s">
        <v>726</v>
      </c>
      <c r="B12" s="5" t="s">
        <v>727</v>
      </c>
      <c r="C12" s="19" t="n">
        <f aca="false">9/2*'설계값(라이브)'!$C$13/60*(1-9.525/46)</f>
        <v>104.667391304348</v>
      </c>
      <c r="D12" s="12" t="s">
        <v>87</v>
      </c>
      <c r="E12" s="4" t="s">
        <v>728</v>
      </c>
    </row>
    <row r="13" customFormat="false" ht="15" hidden="false" customHeight="false" outlineLevel="0" collapsed="false">
      <c r="A13" s="5" t="s">
        <v>729</v>
      </c>
      <c r="B13" s="5" t="s">
        <v>730</v>
      </c>
      <c r="C13" s="19" t="n">
        <f aca="false">9/2*'설계값(라이브)'!$C$13/60*(1+9.525/46)</f>
        <v>159.332608695652</v>
      </c>
      <c r="D13" s="12" t="s">
        <v>87</v>
      </c>
      <c r="E13" s="4" t="s">
        <v>731</v>
      </c>
    </row>
    <row r="14" customFormat="false" ht="15" hidden="false" customHeight="false" outlineLevel="0" collapsed="false">
      <c r="A14" s="5" t="s">
        <v>732</v>
      </c>
      <c r="B14" s="5" t="s">
        <v>733</v>
      </c>
      <c r="C14" s="19" t="n">
        <f aca="false">46/(2*9.525)*'설계값(라이브)'!$C$13/60*(1-(9.525/46)^2)</f>
        <v>67.7941895849975</v>
      </c>
      <c r="D14" s="12" t="s">
        <v>87</v>
      </c>
      <c r="E14" s="4" t="s">
        <v>734</v>
      </c>
    </row>
    <row r="15" customFormat="false" ht="15" hidden="false" customHeight="false" outlineLevel="0" collapsed="false">
      <c r="A15" s="5" t="s">
        <v>735</v>
      </c>
      <c r="B15" s="5" t="s">
        <v>736</v>
      </c>
      <c r="C15" s="19" t="n">
        <f aca="false">'설계값(라이브)'!$C$13/60/2*(1-9.525/46)</f>
        <v>11.6297101449275</v>
      </c>
      <c r="D15" s="12" t="s">
        <v>87</v>
      </c>
      <c r="E15" s="4" t="s"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0"/>
    <col collapsed="false" customWidth="true" hidden="false" outlineLevel="0" max="7" min="7" style="0" width="44"/>
  </cols>
  <sheetData>
    <row r="1" customFormat="false" ht="20.1" hidden="false" customHeight="false" outlineLevel="0" collapsed="false">
      <c r="A1" s="29" t="s">
        <v>738</v>
      </c>
    </row>
    <row r="2" customFormat="false" ht="15" hidden="false" customHeight="false" outlineLevel="0" collapsed="false">
      <c r="A2" s="10" t="s">
        <v>739</v>
      </c>
    </row>
    <row r="4" customFormat="false" ht="15" hidden="false" customHeight="false" outlineLevel="0" collapsed="false">
      <c r="A4" s="3" t="s">
        <v>191</v>
      </c>
      <c r="B4" s="3" t="s">
        <v>740</v>
      </c>
      <c r="C4" s="3" t="s">
        <v>741</v>
      </c>
      <c r="D4" s="3" t="s">
        <v>742</v>
      </c>
      <c r="E4" s="3" t="s">
        <v>743</v>
      </c>
      <c r="F4" s="30" t="s">
        <v>744</v>
      </c>
      <c r="G4" s="3" t="s">
        <v>745</v>
      </c>
    </row>
    <row r="5" customFormat="false" ht="15" hidden="false" customHeight="false" outlineLevel="0" collapsed="false">
      <c r="A5" s="28" t="n">
        <v>1</v>
      </c>
      <c r="B5" s="28" t="s">
        <v>746</v>
      </c>
      <c r="C5" s="28" t="s">
        <v>747</v>
      </c>
      <c r="D5" s="28" t="n">
        <v>1</v>
      </c>
      <c r="E5" s="28" t="s">
        <v>79</v>
      </c>
      <c r="F5" s="28" t="s">
        <v>748</v>
      </c>
      <c r="G5" s="37" t="s">
        <v>749</v>
      </c>
    </row>
    <row r="6" customFormat="false" ht="15" hidden="false" customHeight="false" outlineLevel="0" collapsed="false">
      <c r="A6" s="16" t="n">
        <v>2</v>
      </c>
      <c r="B6" s="12" t="s">
        <v>746</v>
      </c>
      <c r="C6" s="12" t="s">
        <v>750</v>
      </c>
      <c r="D6" s="16" t="n">
        <v>2</v>
      </c>
      <c r="E6" s="12" t="s">
        <v>79</v>
      </c>
      <c r="F6" s="12" t="s">
        <v>748</v>
      </c>
      <c r="G6" s="4"/>
    </row>
    <row r="7" customFormat="false" ht="15" hidden="false" customHeight="false" outlineLevel="0" collapsed="false">
      <c r="A7" s="16" t="n">
        <v>3</v>
      </c>
      <c r="B7" s="12" t="s">
        <v>746</v>
      </c>
      <c r="C7" s="12" t="s">
        <v>751</v>
      </c>
      <c r="D7" s="16" t="n">
        <v>3</v>
      </c>
      <c r="E7" s="12" t="s">
        <v>79</v>
      </c>
      <c r="F7" s="12" t="s">
        <v>748</v>
      </c>
      <c r="G7" s="4"/>
    </row>
    <row r="8" customFormat="false" ht="15" hidden="false" customHeight="false" outlineLevel="0" collapsed="false">
      <c r="A8" s="16" t="n">
        <v>4</v>
      </c>
      <c r="B8" s="12" t="s">
        <v>752</v>
      </c>
      <c r="C8" s="12" t="s">
        <v>753</v>
      </c>
      <c r="D8" s="16" t="n">
        <v>4</v>
      </c>
      <c r="E8" s="12" t="s">
        <v>754</v>
      </c>
      <c r="F8" s="12" t="s">
        <v>755</v>
      </c>
      <c r="G8" s="4"/>
    </row>
    <row r="9" customFormat="false" ht="15" hidden="false" customHeight="false" outlineLevel="0" collapsed="false">
      <c r="A9" s="16" t="n">
        <v>5</v>
      </c>
      <c r="B9" s="12" t="s">
        <v>752</v>
      </c>
      <c r="C9" s="12" t="s">
        <v>756</v>
      </c>
      <c r="D9" s="16" t="n">
        <v>5</v>
      </c>
      <c r="E9" s="12" t="s">
        <v>754</v>
      </c>
      <c r="F9" s="12" t="s">
        <v>755</v>
      </c>
      <c r="G9" s="4"/>
    </row>
    <row r="10" customFormat="false" ht="15" hidden="false" customHeight="false" outlineLevel="0" collapsed="false">
      <c r="A10" s="16" t="n">
        <v>6</v>
      </c>
      <c r="B10" s="12" t="s">
        <v>752</v>
      </c>
      <c r="C10" s="12" t="s">
        <v>757</v>
      </c>
      <c r="D10" s="16" t="n">
        <v>6</v>
      </c>
      <c r="E10" s="12" t="s">
        <v>754</v>
      </c>
      <c r="F10" s="12" t="s">
        <v>755</v>
      </c>
      <c r="G10" s="4"/>
    </row>
    <row r="11" customFormat="false" ht="15" hidden="false" customHeight="false" outlineLevel="0" collapsed="false">
      <c r="A11" s="16" t="n">
        <v>7</v>
      </c>
      <c r="B11" s="12" t="s">
        <v>758</v>
      </c>
      <c r="C11" s="12" t="s">
        <v>759</v>
      </c>
      <c r="D11" s="16" t="n">
        <v>7</v>
      </c>
      <c r="E11" s="12" t="s">
        <v>760</v>
      </c>
      <c r="F11" s="12" t="s">
        <v>761</v>
      </c>
      <c r="G11" s="4"/>
    </row>
    <row r="12" customFormat="false" ht="15" hidden="false" customHeight="false" outlineLevel="0" collapsed="false">
      <c r="A12" s="16" t="n">
        <v>8</v>
      </c>
      <c r="B12" s="12" t="s">
        <v>758</v>
      </c>
      <c r="C12" s="12" t="s">
        <v>762</v>
      </c>
      <c r="D12" s="16" t="n">
        <v>8</v>
      </c>
      <c r="E12" s="12" t="s">
        <v>760</v>
      </c>
      <c r="F12" s="12" t="s">
        <v>761</v>
      </c>
      <c r="G12" s="4"/>
    </row>
    <row r="13" customFormat="false" ht="15" hidden="false" customHeight="false" outlineLevel="0" collapsed="false">
      <c r="A13" s="16" t="n">
        <v>9</v>
      </c>
      <c r="B13" s="12" t="s">
        <v>758</v>
      </c>
      <c r="C13" s="12" t="s">
        <v>763</v>
      </c>
      <c r="D13" s="16" t="n">
        <v>9</v>
      </c>
      <c r="E13" s="12" t="s">
        <v>760</v>
      </c>
      <c r="F13" s="12" t="s">
        <v>761</v>
      </c>
      <c r="G13" s="4"/>
    </row>
    <row r="14" customFormat="false" ht="15" hidden="false" customHeight="false" outlineLevel="0" collapsed="false">
      <c r="A14" s="16" t="n">
        <v>10</v>
      </c>
      <c r="B14" s="12" t="s">
        <v>764</v>
      </c>
      <c r="C14" s="12" t="s">
        <v>765</v>
      </c>
      <c r="D14" s="16" t="n">
        <v>10</v>
      </c>
      <c r="E14" s="12" t="s">
        <v>79</v>
      </c>
      <c r="F14" s="12" t="s">
        <v>748</v>
      </c>
      <c r="G14" s="4"/>
    </row>
    <row r="15" customFormat="false" ht="15" hidden="false" customHeight="false" outlineLevel="0" collapsed="false">
      <c r="A15" s="16" t="n">
        <v>11</v>
      </c>
      <c r="B15" s="12" t="s">
        <v>764</v>
      </c>
      <c r="C15" s="12" t="s">
        <v>766</v>
      </c>
      <c r="D15" s="16" t="n">
        <v>11</v>
      </c>
      <c r="E15" s="12" t="s">
        <v>79</v>
      </c>
      <c r="F15" s="12" t="s">
        <v>748</v>
      </c>
      <c r="G15" s="4"/>
    </row>
    <row r="16" customFormat="false" ht="15" hidden="false" customHeight="false" outlineLevel="0" collapsed="false">
      <c r="A16" s="16" t="n">
        <v>12</v>
      </c>
      <c r="B16" s="12" t="s">
        <v>764</v>
      </c>
      <c r="C16" s="12" t="s">
        <v>767</v>
      </c>
      <c r="D16" s="16" t="n">
        <v>12</v>
      </c>
      <c r="E16" s="12" t="s">
        <v>79</v>
      </c>
      <c r="F16" s="12" t="s">
        <v>748</v>
      </c>
      <c r="G16" s="4"/>
    </row>
    <row r="17" customFormat="false" ht="15" hidden="false" customHeight="false" outlineLevel="0" collapsed="false">
      <c r="A17" s="16" t="n">
        <v>13</v>
      </c>
      <c r="B17" s="12" t="s">
        <v>768</v>
      </c>
      <c r="C17" s="12" t="s">
        <v>769</v>
      </c>
      <c r="D17" s="16" t="n">
        <v>13</v>
      </c>
      <c r="E17" s="12" t="s">
        <v>754</v>
      </c>
      <c r="F17" s="12" t="s">
        <v>755</v>
      </c>
      <c r="G17" s="4"/>
    </row>
    <row r="18" customFormat="false" ht="15" hidden="false" customHeight="false" outlineLevel="0" collapsed="false">
      <c r="A18" s="16" t="n">
        <v>14</v>
      </c>
      <c r="B18" s="12" t="s">
        <v>768</v>
      </c>
      <c r="C18" s="12" t="s">
        <v>770</v>
      </c>
      <c r="D18" s="16" t="n">
        <v>14</v>
      </c>
      <c r="E18" s="12" t="s">
        <v>754</v>
      </c>
      <c r="F18" s="12" t="s">
        <v>755</v>
      </c>
      <c r="G18" s="4"/>
    </row>
    <row r="19" customFormat="false" ht="15" hidden="false" customHeight="false" outlineLevel="0" collapsed="false">
      <c r="A19" s="16" t="n">
        <v>15</v>
      </c>
      <c r="B19" s="12" t="s">
        <v>768</v>
      </c>
      <c r="C19" s="12" t="s">
        <v>771</v>
      </c>
      <c r="D19" s="16" t="n">
        <v>15</v>
      </c>
      <c r="E19" s="12" t="s">
        <v>754</v>
      </c>
      <c r="F19" s="12" t="s">
        <v>755</v>
      </c>
      <c r="G19" s="4"/>
    </row>
    <row r="20" customFormat="false" ht="15" hidden="false" customHeight="false" outlineLevel="0" collapsed="false">
      <c r="A20" s="16" t="n">
        <v>16</v>
      </c>
      <c r="B20" s="12" t="s">
        <v>772</v>
      </c>
      <c r="C20" s="12" t="s">
        <v>773</v>
      </c>
      <c r="D20" s="16" t="n">
        <v>16</v>
      </c>
      <c r="E20" s="12" t="s">
        <v>760</v>
      </c>
      <c r="F20" s="12" t="s">
        <v>761</v>
      </c>
      <c r="G20" s="4"/>
    </row>
    <row r="21" customFormat="false" ht="15" hidden="false" customHeight="false" outlineLevel="0" collapsed="false">
      <c r="A21" s="16" t="n">
        <v>17</v>
      </c>
      <c r="B21" s="12" t="s">
        <v>772</v>
      </c>
      <c r="C21" s="12" t="s">
        <v>774</v>
      </c>
      <c r="D21" s="16" t="n">
        <v>17</v>
      </c>
      <c r="E21" s="12" t="s">
        <v>760</v>
      </c>
      <c r="F21" s="12" t="s">
        <v>761</v>
      </c>
      <c r="G21" s="4"/>
    </row>
    <row r="22" customFormat="false" ht="15" hidden="false" customHeight="false" outlineLevel="0" collapsed="false">
      <c r="A22" s="16" t="n">
        <v>18</v>
      </c>
      <c r="B22" s="12" t="s">
        <v>772</v>
      </c>
      <c r="C22" s="12" t="s">
        <v>775</v>
      </c>
      <c r="D22" s="16" t="n">
        <v>18</v>
      </c>
      <c r="E22" s="12" t="s">
        <v>760</v>
      </c>
      <c r="F22" s="12" t="s">
        <v>761</v>
      </c>
      <c r="G22" s="4"/>
    </row>
    <row r="23" customFormat="false" ht="15" hidden="false" customHeight="false" outlineLevel="0" collapsed="false">
      <c r="A23" s="16" t="n">
        <v>19</v>
      </c>
      <c r="B23" s="12" t="s">
        <v>746</v>
      </c>
      <c r="C23" s="12" t="s">
        <v>776</v>
      </c>
      <c r="D23" s="16" t="n">
        <v>19</v>
      </c>
      <c r="E23" s="12" t="s">
        <v>79</v>
      </c>
      <c r="F23" s="12" t="s">
        <v>748</v>
      </c>
      <c r="G23" s="4"/>
    </row>
    <row r="24" customFormat="false" ht="15" hidden="false" customHeight="false" outlineLevel="0" collapsed="false">
      <c r="A24" s="16" t="n">
        <v>20</v>
      </c>
      <c r="B24" s="12" t="s">
        <v>746</v>
      </c>
      <c r="C24" s="12" t="s">
        <v>777</v>
      </c>
      <c r="D24" s="16" t="n">
        <v>20</v>
      </c>
      <c r="E24" s="12" t="s">
        <v>79</v>
      </c>
      <c r="F24" s="12" t="s">
        <v>748</v>
      </c>
      <c r="G24" s="4"/>
    </row>
    <row r="25" customFormat="false" ht="15" hidden="false" customHeight="false" outlineLevel="0" collapsed="false">
      <c r="A25" s="16" t="n">
        <v>21</v>
      </c>
      <c r="B25" s="12" t="s">
        <v>746</v>
      </c>
      <c r="C25" s="12" t="s">
        <v>778</v>
      </c>
      <c r="D25" s="16" t="n">
        <v>21</v>
      </c>
      <c r="E25" s="12" t="s">
        <v>79</v>
      </c>
      <c r="F25" s="12" t="s">
        <v>748</v>
      </c>
      <c r="G25" s="4"/>
    </row>
    <row r="26" customFormat="false" ht="15" hidden="false" customHeight="false" outlineLevel="0" collapsed="false">
      <c r="A26" s="16" t="n">
        <v>22</v>
      </c>
      <c r="B26" s="12" t="s">
        <v>752</v>
      </c>
      <c r="C26" s="12" t="s">
        <v>779</v>
      </c>
      <c r="D26" s="16" t="n">
        <v>22</v>
      </c>
      <c r="E26" s="12" t="s">
        <v>754</v>
      </c>
      <c r="F26" s="12" t="s">
        <v>755</v>
      </c>
      <c r="G26" s="4"/>
    </row>
    <row r="27" customFormat="false" ht="15" hidden="false" customHeight="false" outlineLevel="0" collapsed="false">
      <c r="A27" s="16" t="n">
        <v>23</v>
      </c>
      <c r="B27" s="12" t="s">
        <v>752</v>
      </c>
      <c r="C27" s="12" t="s">
        <v>780</v>
      </c>
      <c r="D27" s="16" t="n">
        <v>23</v>
      </c>
      <c r="E27" s="12" t="s">
        <v>754</v>
      </c>
      <c r="F27" s="12" t="s">
        <v>755</v>
      </c>
      <c r="G27" s="4"/>
    </row>
    <row r="28" customFormat="false" ht="15" hidden="false" customHeight="false" outlineLevel="0" collapsed="false">
      <c r="A28" s="16" t="n">
        <v>24</v>
      </c>
      <c r="B28" s="12" t="s">
        <v>752</v>
      </c>
      <c r="C28" s="12" t="s">
        <v>781</v>
      </c>
      <c r="D28" s="16" t="n">
        <v>24</v>
      </c>
      <c r="E28" s="12" t="s">
        <v>754</v>
      </c>
      <c r="F28" s="12" t="s">
        <v>755</v>
      </c>
      <c r="G28" s="4"/>
    </row>
    <row r="29" customFormat="false" ht="15" hidden="false" customHeight="false" outlineLevel="0" collapsed="false">
      <c r="A29" s="16" t="n">
        <v>25</v>
      </c>
      <c r="B29" s="12" t="s">
        <v>758</v>
      </c>
      <c r="C29" s="12" t="s">
        <v>782</v>
      </c>
      <c r="D29" s="16" t="n">
        <v>25</v>
      </c>
      <c r="E29" s="12" t="s">
        <v>760</v>
      </c>
      <c r="F29" s="12" t="s">
        <v>761</v>
      </c>
      <c r="G29" s="4"/>
    </row>
    <row r="30" customFormat="false" ht="15" hidden="false" customHeight="false" outlineLevel="0" collapsed="false">
      <c r="A30" s="16" t="n">
        <v>26</v>
      </c>
      <c r="B30" s="12" t="s">
        <v>758</v>
      </c>
      <c r="C30" s="12" t="s">
        <v>783</v>
      </c>
      <c r="D30" s="16" t="n">
        <v>26</v>
      </c>
      <c r="E30" s="12" t="s">
        <v>760</v>
      </c>
      <c r="F30" s="12" t="s">
        <v>761</v>
      </c>
      <c r="G30" s="4"/>
    </row>
    <row r="31" customFormat="false" ht="15" hidden="false" customHeight="false" outlineLevel="0" collapsed="false">
      <c r="A31" s="16" t="n">
        <v>27</v>
      </c>
      <c r="B31" s="12" t="s">
        <v>758</v>
      </c>
      <c r="C31" s="12" t="s">
        <v>784</v>
      </c>
      <c r="D31" s="16" t="n">
        <v>27</v>
      </c>
      <c r="E31" s="12" t="s">
        <v>760</v>
      </c>
      <c r="F31" s="12" t="s">
        <v>761</v>
      </c>
      <c r="G31" s="4"/>
    </row>
    <row r="32" customFormat="false" ht="15" hidden="false" customHeight="false" outlineLevel="0" collapsed="false">
      <c r="A32" s="16" t="n">
        <v>28</v>
      </c>
      <c r="B32" s="12" t="s">
        <v>764</v>
      </c>
      <c r="C32" s="12" t="s">
        <v>785</v>
      </c>
      <c r="D32" s="16" t="n">
        <v>28</v>
      </c>
      <c r="E32" s="12" t="s">
        <v>79</v>
      </c>
      <c r="F32" s="12" t="s">
        <v>748</v>
      </c>
      <c r="G32" s="4"/>
    </row>
    <row r="33" customFormat="false" ht="15" hidden="false" customHeight="false" outlineLevel="0" collapsed="false">
      <c r="A33" s="16" t="n">
        <v>29</v>
      </c>
      <c r="B33" s="12" t="s">
        <v>764</v>
      </c>
      <c r="C33" s="12" t="s">
        <v>786</v>
      </c>
      <c r="D33" s="16" t="n">
        <v>29</v>
      </c>
      <c r="E33" s="12" t="s">
        <v>79</v>
      </c>
      <c r="F33" s="12" t="s">
        <v>748</v>
      </c>
      <c r="G33" s="4"/>
    </row>
    <row r="34" customFormat="false" ht="15" hidden="false" customHeight="false" outlineLevel="0" collapsed="false">
      <c r="A34" s="16" t="n">
        <v>30</v>
      </c>
      <c r="B34" s="12" t="s">
        <v>764</v>
      </c>
      <c r="C34" s="12" t="s">
        <v>787</v>
      </c>
      <c r="D34" s="16" t="n">
        <v>30</v>
      </c>
      <c r="E34" s="12" t="s">
        <v>79</v>
      </c>
      <c r="F34" s="12" t="s">
        <v>748</v>
      </c>
      <c r="G34" s="4"/>
    </row>
    <row r="35" customFormat="false" ht="15" hidden="false" customHeight="false" outlineLevel="0" collapsed="false">
      <c r="A35" s="16" t="n">
        <v>31</v>
      </c>
      <c r="B35" s="12" t="s">
        <v>768</v>
      </c>
      <c r="C35" s="12" t="s">
        <v>788</v>
      </c>
      <c r="D35" s="16" t="n">
        <v>31</v>
      </c>
      <c r="E35" s="12" t="s">
        <v>754</v>
      </c>
      <c r="F35" s="12" t="s">
        <v>755</v>
      </c>
      <c r="G35" s="4"/>
    </row>
    <row r="36" customFormat="false" ht="15" hidden="false" customHeight="false" outlineLevel="0" collapsed="false">
      <c r="A36" s="16" t="n">
        <v>32</v>
      </c>
      <c r="B36" s="12" t="s">
        <v>768</v>
      </c>
      <c r="C36" s="12" t="s">
        <v>789</v>
      </c>
      <c r="D36" s="16" t="n">
        <v>32</v>
      </c>
      <c r="E36" s="12" t="s">
        <v>754</v>
      </c>
      <c r="F36" s="12" t="s">
        <v>755</v>
      </c>
      <c r="G36" s="4"/>
    </row>
    <row r="37" customFormat="false" ht="15" hidden="false" customHeight="false" outlineLevel="0" collapsed="false">
      <c r="A37" s="16" t="n">
        <v>33</v>
      </c>
      <c r="B37" s="12" t="s">
        <v>768</v>
      </c>
      <c r="C37" s="12" t="s">
        <v>790</v>
      </c>
      <c r="D37" s="16" t="n">
        <v>33</v>
      </c>
      <c r="E37" s="12" t="s">
        <v>754</v>
      </c>
      <c r="F37" s="12" t="s">
        <v>755</v>
      </c>
      <c r="G37" s="4"/>
    </row>
    <row r="38" customFormat="false" ht="15" hidden="false" customHeight="false" outlineLevel="0" collapsed="false">
      <c r="A38" s="16" t="n">
        <v>34</v>
      </c>
      <c r="B38" s="12" t="s">
        <v>772</v>
      </c>
      <c r="C38" s="12" t="s">
        <v>791</v>
      </c>
      <c r="D38" s="16" t="n">
        <v>34</v>
      </c>
      <c r="E38" s="12" t="s">
        <v>760</v>
      </c>
      <c r="F38" s="12" t="s">
        <v>761</v>
      </c>
      <c r="G38" s="4"/>
    </row>
    <row r="39" customFormat="false" ht="15" hidden="false" customHeight="false" outlineLevel="0" collapsed="false">
      <c r="A39" s="16" t="n">
        <v>35</v>
      </c>
      <c r="B39" s="12" t="s">
        <v>772</v>
      </c>
      <c r="C39" s="12" t="s">
        <v>792</v>
      </c>
      <c r="D39" s="16" t="n">
        <v>35</v>
      </c>
      <c r="E39" s="12" t="s">
        <v>760</v>
      </c>
      <c r="F39" s="12" t="s">
        <v>761</v>
      </c>
      <c r="G39" s="4"/>
    </row>
    <row r="40" customFormat="false" ht="15" hidden="false" customHeight="false" outlineLevel="0" collapsed="false">
      <c r="A40" s="16" t="n">
        <v>36</v>
      </c>
      <c r="B40" s="12" t="s">
        <v>772</v>
      </c>
      <c r="C40" s="12" t="s">
        <v>793</v>
      </c>
      <c r="D40" s="16" t="n">
        <v>36</v>
      </c>
      <c r="E40" s="12" t="s">
        <v>760</v>
      </c>
      <c r="F40" s="12" t="s">
        <v>761</v>
      </c>
      <c r="G40" s="4"/>
    </row>
    <row r="42" customFormat="false" ht="15" hidden="false" customHeight="false" outlineLevel="0" collapsed="false">
      <c r="A42" s="10" t="s">
        <v>794</v>
      </c>
    </row>
    <row r="43" customFormat="false" ht="15" hidden="false" customHeight="false" outlineLevel="0" collapsed="false">
      <c r="A43" s="10" t="s">
        <v>795</v>
      </c>
    </row>
    <row r="44" customFormat="false" ht="15" hidden="false" customHeight="false" outlineLevel="0" collapsed="false">
      <c r="A44" s="33" t="s">
        <v>796</v>
      </c>
    </row>
    <row r="45" customFormat="false" ht="15" hidden="false" customHeight="false" outlineLevel="0" collapsed="false">
      <c r="A45" s="10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34" t="s">
        <v>798</v>
      </c>
    </row>
    <row r="3" customFormat="false" ht="41" hidden="false" customHeight="false" outlineLevel="0" collapsed="false">
      <c r="A3" s="3" t="s">
        <v>799</v>
      </c>
      <c r="B3" s="30" t="s">
        <v>800</v>
      </c>
      <c r="C3" s="30" t="s">
        <v>801</v>
      </c>
      <c r="D3" s="3" t="s">
        <v>802</v>
      </c>
      <c r="E3" s="3" t="s">
        <v>803</v>
      </c>
      <c r="F3" s="30" t="s">
        <v>92</v>
      </c>
      <c r="G3" s="3" t="s">
        <v>5</v>
      </c>
    </row>
    <row r="4" customFormat="false" ht="15" hidden="false" customHeight="false" outlineLevel="0" collapsed="false">
      <c r="A4" s="38" t="n">
        <v>0.25</v>
      </c>
      <c r="B4" s="16" t="n">
        <f aca="false">2*'설계값(라이브)'!$C$15/A4</f>
        <v>20</v>
      </c>
      <c r="C4" s="23" t="n">
        <f aca="false">(B4-SQRT(B4^2-4))/2</f>
        <v>0.0501256289338006</v>
      </c>
      <c r="D4" s="18" t="n">
        <f aca="false">C4*'설계값(라이브)'!$C$181</f>
        <v>0.00533702926128236</v>
      </c>
      <c r="E4" s="19" t="n">
        <f aca="false">'설계값(라이브)'!$C$24*(1-D4)</f>
        <v>1790.39334732969</v>
      </c>
      <c r="F4" s="16" t="n">
        <f aca="false">ROUND(E4,1)</f>
        <v>1790.4</v>
      </c>
      <c r="G4" s="16"/>
    </row>
    <row r="5" customFormat="false" ht="15" hidden="false" customHeight="false" outlineLevel="0" collapsed="false">
      <c r="A5" s="38" t="n">
        <v>0.5</v>
      </c>
      <c r="B5" s="16" t="n">
        <f aca="false">2*'설계값(라이브)'!$C$15/A5</f>
        <v>10</v>
      </c>
      <c r="C5" s="23" t="n">
        <f aca="false">(B5-SQRT(B5^2-4))/2</f>
        <v>0.101020514433644</v>
      </c>
      <c r="D5" s="18" t="n">
        <f aca="false">C5*'설계값(라이브)'!$C$181</f>
        <v>0.0107559636255975</v>
      </c>
      <c r="E5" s="19" t="n">
        <f aca="false">'설계값(라이브)'!$C$24*(1-D5)</f>
        <v>1780.63926547392</v>
      </c>
      <c r="F5" s="16" t="n">
        <f aca="false">ROUND(E5,1)</f>
        <v>1780.6</v>
      </c>
      <c r="G5" s="16"/>
    </row>
    <row r="6" customFormat="false" ht="15" hidden="false" customHeight="false" outlineLevel="0" collapsed="false">
      <c r="A6" s="38" t="n">
        <v>0.75</v>
      </c>
      <c r="B6" s="16" t="n">
        <f aca="false">2*'설계값(라이브)'!$C$15/A6</f>
        <v>6.66666666666667</v>
      </c>
      <c r="C6" s="23" t="n">
        <f aca="false">(B6-SQRT(B6^2-4))/2</f>
        <v>0.153535995276848</v>
      </c>
      <c r="D6" s="18" t="n">
        <f aca="false">C6*'설계값(라이브)'!$C$181</f>
        <v>0.0163474477404531</v>
      </c>
      <c r="E6" s="19" t="n">
        <f aca="false">'설계값(라이브)'!$C$24*(1-D6)</f>
        <v>1770.57459406718</v>
      </c>
      <c r="F6" s="16" t="n">
        <f aca="false">ROUND(E6,1)</f>
        <v>1770.6</v>
      </c>
      <c r="G6" s="16"/>
    </row>
    <row r="7" customFormat="false" ht="41" hidden="false" customHeight="false" outlineLevel="0" collapsed="false">
      <c r="A7" s="38" t="n">
        <v>1</v>
      </c>
      <c r="B7" s="16" t="n">
        <f aca="false">2*'설계값(라이브)'!$C$15/A7</f>
        <v>5</v>
      </c>
      <c r="C7" s="23" t="n">
        <f aca="false">(B7-SQRT(B7^2-4))/2</f>
        <v>0.20871215252208</v>
      </c>
      <c r="D7" s="18" t="n">
        <f aca="false">C7*'설계값(라이브)'!$C$181</f>
        <v>0.0222222222222222</v>
      </c>
      <c r="E7" s="19" t="n">
        <f aca="false">'설계값(라이브)'!$C$24*(1-D7)</f>
        <v>1760</v>
      </c>
      <c r="F7" s="16" t="n">
        <f aca="false">ROUND(E7,1)</f>
        <v>1760</v>
      </c>
      <c r="G7" s="16" t="s">
        <v>804</v>
      </c>
    </row>
    <row r="8" customFormat="false" ht="26.85" hidden="false" customHeight="false" outlineLevel="0" collapsed="false">
      <c r="A8" s="38" t="n">
        <v>1.15</v>
      </c>
      <c r="B8" s="16" t="n">
        <f aca="false">2*'설계값(라이브)'!$C$15/A8</f>
        <v>4.34782608695652</v>
      </c>
      <c r="C8" s="23" t="n">
        <f aca="false">(B8-SQRT(B8^2-4))/2</f>
        <v>0.24365453213712</v>
      </c>
      <c r="D8" s="18" t="n">
        <f aca="false">C8*'설계값(라이브)'!$C$181</f>
        <v>0.0259426444180334</v>
      </c>
      <c r="E8" s="19" t="n">
        <f aca="false">'설계값(라이브)'!$C$24*(1-D8)</f>
        <v>1753.30324004754</v>
      </c>
      <c r="F8" s="16" t="n">
        <f aca="false">ROUND(E8,1)</f>
        <v>1753.3</v>
      </c>
      <c r="G8" s="12" t="s">
        <v>805</v>
      </c>
    </row>
    <row r="11" customFormat="false" ht="15" hidden="false" customHeight="false" outlineLevel="0" collapsed="false">
      <c r="A11" s="3" t="s">
        <v>2</v>
      </c>
      <c r="B11" s="3" t="s">
        <v>806</v>
      </c>
      <c r="C11" s="3" t="s">
        <v>65</v>
      </c>
      <c r="D11" s="3" t="s">
        <v>807</v>
      </c>
    </row>
    <row r="12" customFormat="false" ht="15" hidden="false" customHeight="false" outlineLevel="0" collapsed="false">
      <c r="A12" s="4" t="s">
        <v>808</v>
      </c>
      <c r="B12" s="4" t="s">
        <v>809</v>
      </c>
      <c r="C12" s="4" t="s">
        <v>810</v>
      </c>
      <c r="D12" s="4" t="s">
        <v>811</v>
      </c>
    </row>
    <row r="13" customFormat="false" ht="15" hidden="false" customHeight="false" outlineLevel="0" collapsed="false">
      <c r="A13" s="4" t="s">
        <v>808</v>
      </c>
      <c r="B13" s="4" t="s">
        <v>812</v>
      </c>
      <c r="C13" s="5" t="s">
        <v>813</v>
      </c>
      <c r="D13" s="4" t="s">
        <v>814</v>
      </c>
    </row>
    <row r="14" customFormat="false" ht="15" hidden="false" customHeight="false" outlineLevel="0" collapsed="false">
      <c r="A14" s="4" t="s">
        <v>808</v>
      </c>
      <c r="B14" s="4" t="s">
        <v>815</v>
      </c>
      <c r="C14" s="5" t="s">
        <v>816</v>
      </c>
      <c r="D14" s="5" t="s">
        <v>817</v>
      </c>
    </row>
    <row r="15" customFormat="false" ht="29.85" hidden="false" customHeight="false" outlineLevel="0" collapsed="false">
      <c r="A15" s="4" t="s">
        <v>818</v>
      </c>
      <c r="B15" s="4" t="s">
        <v>819</v>
      </c>
      <c r="C15" s="5" t="s">
        <v>820</v>
      </c>
      <c r="D15" s="4" t="s">
        <v>821</v>
      </c>
    </row>
    <row r="16" customFormat="false" ht="26.85" hidden="false" customHeight="false" outlineLevel="0" collapsed="false">
      <c r="A16" s="4" t="s">
        <v>818</v>
      </c>
      <c r="B16" s="4" t="s">
        <v>822</v>
      </c>
      <c r="C16" s="5" t="s">
        <v>823</v>
      </c>
      <c r="D16" s="4" t="s">
        <v>824</v>
      </c>
    </row>
    <row r="17" customFormat="false" ht="15" hidden="false" customHeight="false" outlineLevel="0" collapsed="false">
      <c r="A17" s="4" t="s">
        <v>818</v>
      </c>
      <c r="B17" s="4" t="s">
        <v>825</v>
      </c>
      <c r="C17" s="5" t="s">
        <v>826</v>
      </c>
      <c r="D17" s="4"/>
    </row>
    <row r="18" customFormat="false" ht="15" hidden="false" customHeight="false" outlineLevel="0" collapsed="false">
      <c r="A18" s="4" t="s">
        <v>818</v>
      </c>
      <c r="B18" s="4" t="s">
        <v>827</v>
      </c>
      <c r="C18" s="5" t="s">
        <v>828</v>
      </c>
      <c r="D18" s="4"/>
    </row>
    <row r="19" customFormat="false" ht="15" hidden="false" customHeight="false" outlineLevel="0" collapsed="false">
      <c r="A19" s="4" t="s">
        <v>829</v>
      </c>
      <c r="B19" s="4" t="s">
        <v>830</v>
      </c>
      <c r="C19" s="4" t="s">
        <v>831</v>
      </c>
      <c r="D19" s="5" t="s">
        <v>832</v>
      </c>
    </row>
    <row r="20" customFormat="false" ht="15" hidden="false" customHeight="false" outlineLevel="0" collapsed="false">
      <c r="A20" s="4" t="s">
        <v>829</v>
      </c>
      <c r="B20" s="4" t="s">
        <v>833</v>
      </c>
      <c r="C20" s="5" t="s">
        <v>834</v>
      </c>
      <c r="D20" s="4" t="s">
        <v>835</v>
      </c>
    </row>
    <row r="21" customFormat="false" ht="15" hidden="false" customHeight="false" outlineLevel="0" collapsed="false">
      <c r="A21" s="4" t="s">
        <v>829</v>
      </c>
      <c r="B21" s="4" t="s">
        <v>836</v>
      </c>
      <c r="C21" s="5" t="s">
        <v>837</v>
      </c>
      <c r="D21" s="4" t="s">
        <v>838</v>
      </c>
    </row>
    <row r="22" customFormat="false" ht="15" hidden="false" customHeight="false" outlineLevel="0" collapsed="false">
      <c r="A22" s="5" t="s">
        <v>839</v>
      </c>
      <c r="B22" s="4" t="s">
        <v>840</v>
      </c>
      <c r="C22" s="5" t="s">
        <v>841</v>
      </c>
      <c r="D22" s="4" t="s">
        <v>842</v>
      </c>
    </row>
    <row r="23" customFormat="false" ht="15" hidden="false" customHeight="false" outlineLevel="0" collapsed="false">
      <c r="A23" s="5" t="s">
        <v>839</v>
      </c>
      <c r="B23" s="4" t="s">
        <v>843</v>
      </c>
      <c r="C23" s="5" t="s">
        <v>844</v>
      </c>
      <c r="D23" s="4"/>
    </row>
    <row r="24" customFormat="false" ht="15" hidden="false" customHeight="false" outlineLevel="0" collapsed="false">
      <c r="A24" s="4" t="s">
        <v>845</v>
      </c>
      <c r="B24" s="4" t="s">
        <v>846</v>
      </c>
      <c r="C24" s="5" t="s">
        <v>847</v>
      </c>
      <c r="D24" s="4" t="s">
        <v>848</v>
      </c>
    </row>
    <row r="25" customFormat="false" ht="15" hidden="false" customHeight="false" outlineLevel="0" collapsed="false">
      <c r="A25" s="4" t="s">
        <v>845</v>
      </c>
      <c r="B25" s="4" t="s">
        <v>849</v>
      </c>
      <c r="C25" s="4" t="s">
        <v>850</v>
      </c>
      <c r="D25" s="4" t="s">
        <v>851</v>
      </c>
    </row>
    <row r="26" customFormat="false" ht="15" hidden="false" customHeight="false" outlineLevel="0" collapsed="false">
      <c r="A26" s="4" t="s">
        <v>852</v>
      </c>
      <c r="B26" s="4" t="s">
        <v>853</v>
      </c>
      <c r="C26" s="5" t="s">
        <v>854</v>
      </c>
      <c r="D26" s="4"/>
    </row>
    <row r="27" customFormat="false" ht="15" hidden="false" customHeight="false" outlineLevel="0" collapsed="false">
      <c r="A27" s="4" t="s">
        <v>852</v>
      </c>
      <c r="B27" s="4" t="s">
        <v>855</v>
      </c>
      <c r="C27" s="5" t="s">
        <v>856</v>
      </c>
      <c r="D27" s="4" t="s">
        <v>857</v>
      </c>
    </row>
    <row r="28" customFormat="false" ht="15" hidden="false" customHeight="false" outlineLevel="0" collapsed="false">
      <c r="A28" s="4" t="s">
        <v>852</v>
      </c>
      <c r="B28" s="4" t="s">
        <v>858</v>
      </c>
      <c r="C28" s="4" t="s">
        <v>859</v>
      </c>
      <c r="D28" s="4"/>
    </row>
    <row r="29" customFormat="false" ht="15" hidden="false" customHeight="false" outlineLevel="0" collapsed="false">
      <c r="A29" s="4" t="s">
        <v>860</v>
      </c>
      <c r="B29" s="4" t="s">
        <v>861</v>
      </c>
      <c r="C29" s="5" t="s">
        <v>862</v>
      </c>
      <c r="D29" s="4"/>
    </row>
    <row r="30" customFormat="false" ht="15" hidden="false" customHeight="false" outlineLevel="0" collapsed="false">
      <c r="A30" s="4" t="s">
        <v>860</v>
      </c>
      <c r="B30" s="4" t="s">
        <v>863</v>
      </c>
      <c r="C30" s="5" t="s">
        <v>864</v>
      </c>
      <c r="D30" s="4"/>
    </row>
    <row r="31" customFormat="false" ht="15" hidden="false" customHeight="false" outlineLevel="0" collapsed="false">
      <c r="A31" s="4" t="s">
        <v>865</v>
      </c>
      <c r="B31" s="5" t="s">
        <v>866</v>
      </c>
      <c r="C31" s="5" t="s">
        <v>867</v>
      </c>
      <c r="D31" s="4" t="s">
        <v>851</v>
      </c>
    </row>
    <row r="32" customFormat="false" ht="15" hidden="false" customHeight="false" outlineLevel="0" collapsed="false">
      <c r="A32" s="4" t="s">
        <v>865</v>
      </c>
      <c r="B32" s="5" t="s">
        <v>868</v>
      </c>
      <c r="C32" s="5" t="s">
        <v>869</v>
      </c>
      <c r="D3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29" t="s">
        <v>870</v>
      </c>
    </row>
    <row r="3" customFormat="false" ht="15" hidden="false" customHeight="false" outlineLevel="0" collapsed="false">
      <c r="A3" s="3" t="s">
        <v>871</v>
      </c>
      <c r="B3" s="30" t="s">
        <v>872</v>
      </c>
      <c r="C3" s="3" t="s">
        <v>873</v>
      </c>
      <c r="D3" s="30" t="s">
        <v>874</v>
      </c>
    </row>
    <row r="4" customFormat="false" ht="15" hidden="false" customHeight="false" outlineLevel="0" collapsed="false">
      <c r="A4" s="4" t="s">
        <v>875</v>
      </c>
      <c r="B4" s="5" t="s">
        <v>876</v>
      </c>
      <c r="C4" s="5" t="s">
        <v>877</v>
      </c>
      <c r="D4" s="4" t="s">
        <v>878</v>
      </c>
    </row>
    <row r="5" customFormat="false" ht="15" hidden="false" customHeight="false" outlineLevel="0" collapsed="false">
      <c r="A5" s="4" t="s">
        <v>879</v>
      </c>
      <c r="B5" s="5" t="s">
        <v>880</v>
      </c>
      <c r="C5" s="5" t="s">
        <v>881</v>
      </c>
      <c r="D5" s="4" t="s">
        <v>882</v>
      </c>
    </row>
    <row r="6" customFormat="false" ht="15" hidden="false" customHeight="false" outlineLevel="0" collapsed="false">
      <c r="A6" s="4" t="s">
        <v>883</v>
      </c>
      <c r="B6" s="5" t="s">
        <v>884</v>
      </c>
      <c r="C6" s="5" t="s">
        <v>885</v>
      </c>
      <c r="D6" s="4" t="s">
        <v>886</v>
      </c>
    </row>
    <row r="7" customFormat="false" ht="15" hidden="false" customHeight="false" outlineLevel="0" collapsed="false">
      <c r="A7" s="4" t="s">
        <v>887</v>
      </c>
      <c r="B7" s="5" t="s">
        <v>888</v>
      </c>
      <c r="C7" s="5" t="s">
        <v>889</v>
      </c>
      <c r="D7" s="4" t="s">
        <v>890</v>
      </c>
    </row>
    <row r="8" customFormat="false" ht="26.85" hidden="false" customHeight="false" outlineLevel="0" collapsed="false">
      <c r="A8" s="4" t="s">
        <v>891</v>
      </c>
      <c r="B8" s="5" t="s">
        <v>892</v>
      </c>
      <c r="C8" s="5" t="s">
        <v>893</v>
      </c>
      <c r="D8" s="4" t="s">
        <v>894</v>
      </c>
    </row>
    <row r="9" customFormat="false" ht="15" hidden="false" customHeight="false" outlineLevel="0" collapsed="false">
      <c r="A9" s="4" t="s">
        <v>895</v>
      </c>
      <c r="B9" s="5" t="s">
        <v>896</v>
      </c>
      <c r="C9" s="5" t="s">
        <v>893</v>
      </c>
      <c r="D9" s="4" t="s">
        <v>897</v>
      </c>
    </row>
    <row r="10" customFormat="false" ht="15" hidden="false" customHeight="false" outlineLevel="0" collapsed="false">
      <c r="A10" s="4" t="s">
        <v>898</v>
      </c>
      <c r="B10" s="5" t="s">
        <v>899</v>
      </c>
      <c r="C10" s="5" t="s">
        <v>893</v>
      </c>
      <c r="D10" s="4" t="s">
        <v>900</v>
      </c>
    </row>
    <row r="11" customFormat="false" ht="29.85" hidden="false" customHeight="false" outlineLevel="0" collapsed="false">
      <c r="A11" s="4" t="s">
        <v>901</v>
      </c>
      <c r="B11" s="4" t="s">
        <v>902</v>
      </c>
      <c r="C11" s="5" t="s">
        <v>903</v>
      </c>
      <c r="D11" s="4" t="s">
        <v>904</v>
      </c>
    </row>
    <row r="12" customFormat="false" ht="15" hidden="false" customHeight="false" outlineLevel="0" collapsed="false">
      <c r="A12" s="4" t="s">
        <v>905</v>
      </c>
      <c r="B12" s="5" t="s">
        <v>906</v>
      </c>
      <c r="C12" s="5" t="s">
        <v>907</v>
      </c>
      <c r="D12" s="4" t="s">
        <v>908</v>
      </c>
    </row>
    <row r="13" customFormat="false" ht="15" hidden="false" customHeight="false" outlineLevel="0" collapsed="false">
      <c r="A13" s="4" t="s">
        <v>909</v>
      </c>
      <c r="B13" s="4" t="s">
        <v>910</v>
      </c>
      <c r="C13" s="5" t="s">
        <v>911</v>
      </c>
      <c r="D13" s="4" t="s">
        <v>912</v>
      </c>
    </row>
    <row r="14" customFormat="false" ht="15" hidden="false" customHeight="false" outlineLevel="0" collapsed="false">
      <c r="A14" s="4" t="s">
        <v>913</v>
      </c>
      <c r="B14" s="4" t="s">
        <v>914</v>
      </c>
      <c r="C14" s="5" t="s">
        <v>915</v>
      </c>
      <c r="D14" s="5" t="s">
        <v>916</v>
      </c>
    </row>
    <row r="17" customFormat="false" ht="15" hidden="false" customHeight="false" outlineLevel="0" collapsed="false">
      <c r="A17" s="35" t="s">
        <v>917</v>
      </c>
    </row>
    <row r="18" customFormat="false" ht="15" hidden="false" customHeight="false" outlineLevel="0" collapsed="false">
      <c r="A18" s="39" t="s">
        <v>918</v>
      </c>
    </row>
    <row r="19" customFormat="false" ht="15" hidden="false" customHeight="false" outlineLevel="0" collapsed="false">
      <c r="A19" s="39" t="s">
        <v>919</v>
      </c>
    </row>
    <row r="20" customFormat="false" ht="15" hidden="false" customHeight="false" outlineLevel="0" collapsed="false">
      <c r="A20" s="39" t="s">
        <v>920</v>
      </c>
    </row>
    <row r="21" customFormat="false" ht="15" hidden="false" customHeight="false" outlineLevel="0" collapsed="false">
      <c r="A21" s="40" t="s">
        <v>921</v>
      </c>
    </row>
    <row r="22" customFormat="false" ht="15" hidden="false" customHeight="false" outlineLevel="0" collapsed="false">
      <c r="A22" s="40" t="s">
        <v>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6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29" t="s">
        <v>923</v>
      </c>
    </row>
    <row r="3" customFormat="false" ht="15" hidden="false" customHeight="false" outlineLevel="0" collapsed="false">
      <c r="A3" s="3" t="s">
        <v>924</v>
      </c>
      <c r="B3" s="3" t="s">
        <v>925</v>
      </c>
      <c r="C3" s="3" t="s">
        <v>926</v>
      </c>
      <c r="D3" s="3" t="s">
        <v>927</v>
      </c>
      <c r="E3" s="3" t="s">
        <v>928</v>
      </c>
    </row>
    <row r="4" customFormat="false" ht="15" hidden="false" customHeight="false" outlineLevel="0" collapsed="false">
      <c r="A4" s="16" t="n">
        <v>1</v>
      </c>
      <c r="B4" s="4" t="s">
        <v>929</v>
      </c>
      <c r="C4" s="4" t="s">
        <v>930</v>
      </c>
      <c r="D4" s="4" t="s">
        <v>931</v>
      </c>
      <c r="E4" s="5" t="s">
        <v>932</v>
      </c>
    </row>
    <row r="5" customFormat="false" ht="15" hidden="false" customHeight="false" outlineLevel="0" collapsed="false">
      <c r="A5" s="16" t="n">
        <v>2</v>
      </c>
      <c r="B5" s="4" t="s">
        <v>933</v>
      </c>
      <c r="C5" s="4" t="s">
        <v>934</v>
      </c>
      <c r="D5" s="4" t="s">
        <v>935</v>
      </c>
      <c r="E5" s="4" t="s">
        <v>936</v>
      </c>
    </row>
    <row r="6" customFormat="false" ht="15" hidden="false" customHeight="false" outlineLevel="0" collapsed="false">
      <c r="A6" s="16" t="n">
        <v>3</v>
      </c>
      <c r="B6" s="4" t="s">
        <v>9</v>
      </c>
      <c r="C6" s="4" t="s">
        <v>937</v>
      </c>
      <c r="D6" s="4" t="s">
        <v>938</v>
      </c>
      <c r="E6" s="4" t="s">
        <v>939</v>
      </c>
    </row>
    <row r="7" customFormat="false" ht="15" hidden="false" customHeight="false" outlineLevel="0" collapsed="false">
      <c r="A7" s="16" t="n">
        <v>4</v>
      </c>
      <c r="B7" s="4" t="s">
        <v>940</v>
      </c>
      <c r="C7" s="4" t="s">
        <v>941</v>
      </c>
      <c r="D7" s="4" t="s">
        <v>942</v>
      </c>
      <c r="E7" s="4" t="s">
        <v>943</v>
      </c>
    </row>
    <row r="8" customFormat="false" ht="15" hidden="false" customHeight="false" outlineLevel="0" collapsed="false">
      <c r="A8" s="16" t="n">
        <v>5</v>
      </c>
      <c r="B8" s="4" t="s">
        <v>944</v>
      </c>
      <c r="C8" s="4" t="s">
        <v>945</v>
      </c>
      <c r="D8" s="4" t="s">
        <v>946</v>
      </c>
      <c r="E8" s="5" t="s">
        <v>947</v>
      </c>
    </row>
    <row r="9" customFormat="false" ht="15" hidden="false" customHeight="false" outlineLevel="0" collapsed="false">
      <c r="A9" s="16" t="n">
        <v>6</v>
      </c>
      <c r="B9" s="4" t="s">
        <v>948</v>
      </c>
      <c r="C9" s="4" t="s">
        <v>949</v>
      </c>
      <c r="D9" s="4" t="s">
        <v>950</v>
      </c>
      <c r="E9" s="5" t="s">
        <v>951</v>
      </c>
    </row>
    <row r="10" customFormat="false" ht="15" hidden="false" customHeight="false" outlineLevel="0" collapsed="false">
      <c r="A10" s="16" t="n">
        <v>7</v>
      </c>
      <c r="B10" s="4" t="s">
        <v>952</v>
      </c>
      <c r="C10" s="4" t="s">
        <v>953</v>
      </c>
      <c r="D10" s="4" t="s">
        <v>954</v>
      </c>
      <c r="E10" s="4" t="s">
        <v>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2026-10-15T05:09:07Z</dcterms:created>
  <dc:creator>openpyxl</dc:creator>
  <dc:description/>
  <dc:language>en-US</dc:language>
  <cp:lastModifiedBy/>
  <dcterms:modified xsi:type="dcterms:W3CDTF">2026-10-15T05:09:07Z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